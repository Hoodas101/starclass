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销售明细" sheetId="2" state="visible" r:id="rId2"/>
    <sheet name="月度趋势" sheetId="3" state="visible" r:id="rId3"/>
    <sheet name="区域业绩排名" sheetId="4" state="visible" r:id="rId4"/>
    <sheet name="产品线毛利分析" sheetId="5" state="visible" r:id="rId5"/>
    <sheet name="客户汇总" sheetId="6" state="visible" r:id="rId6"/>
    <sheet name="Top10客户" sheetId="7" state="visible" r:id="rId7"/>
    <sheet name="KPI仪表盘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5"/>
    </font>
    <font>
      <i val="1"/>
      <color rgb="00595959"/>
      <sz val="10"/>
    </font>
    <font>
      <b val="1"/>
      <color rgb="001F4E78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月度销售额与毛利趋势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'月度趋势'!B3</f>
            </strRef>
          </tx>
          <spPr>
            <a:ln>
              <a:solidFill>
                <a:srgbClr val="1F4E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'月度趋势'!$A$4:$A$15</f>
            </numRef>
          </cat>
          <val>
            <numRef>
              <f>'月度趋势'!$B$4:$B$15</f>
            </numRef>
          </val>
        </ser>
        <ser>
          <idx val="1"/>
          <order val="1"/>
          <tx>
            <strRef>
              <f>'月度趋势'!C3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'月度趋势'!$A$4:$A$15</f>
            </numRef>
          </cat>
          <val>
            <numRef>
              <f>'月度趋势'!$C$4:$C$15</f>
            </numRef>
          </val>
        </ser>
        <ser>
          <idx val="2"/>
          <order val="2"/>
          <tx>
            <strRef>
              <f>'月度趋势'!D3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'月度趋势'!$A$4:$A$15</f>
            </numRef>
          </cat>
          <val>
            <numRef>
              <f>'月度趋势'!$D$4:$D$15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各区域销售额排名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'区域业绩排名'!B3</f>
            </strRef>
          </tx>
          <spPr>
            <a:solidFill>
              <a:srgbClr val="1F4E78"/>
            </a:solidFill>
            <a:ln>
              <a:prstDash val="solid"/>
            </a:ln>
          </spPr>
          <cat>
            <numRef>
              <f>'区域业绩排名'!$A$4:$A$7</f>
            </numRef>
          </cat>
          <val>
            <numRef>
              <f>'区域业绩排名'!$B$4:$B$7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各产品线毛利率对比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'产品线毛利分析'!E3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'产品线毛利分析'!$A$4:$A$8</f>
            </numRef>
          </cat>
          <val>
            <numRef>
              <f>'产品线毛利分析'!$E$4:$E$8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KPI 达成率(%)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'KPI仪表盘'!D4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'KPI仪表盘'!$A$5:$A$9</f>
            </numRef>
          </cat>
          <val>
            <numRef>
              <f>'KPI仪表盘'!$D$5:$D$9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销售数据分析仪表盘</t>
        </is>
      </c>
    </row>
    <row r="2">
      <c r="A2" s="2" t="inlineStr">
        <is>
          <t>数据年度：2025 年  |  维度：产品线 × 区域 × 销售员 × 客户  |  生成方式：公式驱动</t>
        </is>
      </c>
    </row>
    <row r="4">
      <c r="A4" s="3" t="inlineStr">
        <is>
          <t>工作表</t>
        </is>
      </c>
      <c r="B4" s="4" t="inlineStr">
        <is>
          <t>内容</t>
        </is>
      </c>
    </row>
    <row r="5">
      <c r="A5" s="3" t="inlineStr">
        <is>
          <t>销售明细</t>
        </is>
      </c>
      <c r="B5" s="4" t="inlineStr">
        <is>
          <t>1200 行事实表：月份 / 产品线 / 区域 / 销售员 / 客户 / 销售额 / 成本（毛利与毛利率由公式计出）</t>
        </is>
      </c>
    </row>
    <row r="6">
      <c r="A6" s="3" t="inlineStr">
        <is>
          <t>月度趋势</t>
        </is>
      </c>
      <c r="B6" s="4" t="inlineStr">
        <is>
          <t>12 个月汇总：销售额、成本、毛利、毛利率、上年同期、环比增长、同比增长（均为公式）</t>
        </is>
      </c>
    </row>
    <row r="7">
      <c r="A7" s="3" t="inlineStr">
        <is>
          <t>区域业绩排名</t>
        </is>
      </c>
      <c r="B7" s="4" t="inlineStr">
        <is>
          <t>按区域汇总销售额与毛利，并用 RANK 公式排出名次</t>
        </is>
      </c>
    </row>
    <row r="8">
      <c r="A8" s="3" t="inlineStr">
        <is>
          <t>产品线毛利分析</t>
        </is>
      </c>
      <c r="B8" s="4" t="inlineStr">
        <is>
          <t>按产品线汇总销售额、成本、毛利、毛利率（公式）</t>
        </is>
      </c>
    </row>
    <row r="9">
      <c r="A9" s="3" t="inlineStr">
        <is>
          <t>客户汇总</t>
        </is>
      </c>
      <c r="B9" s="4" t="inlineStr">
        <is>
          <t>40 家客户汇总，供 Top10 引用</t>
        </is>
      </c>
    </row>
    <row r="10">
      <c r="A10" s="3" t="inlineStr">
        <is>
          <t>Top10客户</t>
        </is>
      </c>
      <c r="B10" s="4" t="inlineStr">
        <is>
          <t>用 LARGE + INDEX/MATCH 公式取贡献最高的 10 家客户及累计占比</t>
        </is>
      </c>
    </row>
    <row r="11">
      <c r="A11" s="3" t="inlineStr">
        <is>
          <t>KPI仪表盘</t>
        </is>
      </c>
      <c r="B11" s="4" t="inlineStr">
        <is>
          <t>年销售额 / 年毛利 / 平均毛利率目标与达成率，含数据条条件格式</t>
        </is>
      </c>
    </row>
    <row r="12">
      <c r="A12" s="3" t="inlineStr"/>
      <c r="B12" s="4" t="inlineStr"/>
    </row>
    <row r="13">
      <c r="A13" s="3" t="inlineStr">
        <is>
          <t>使用提示</t>
        </is>
      </c>
      <c r="B13" s="4" t="inlineStr">
        <is>
          <t>所有汇总与比率均为 Excel 实时公式，修改「销售明细」后会自动重算；图表随数据联动。</t>
        </is>
      </c>
    </row>
    <row r="14">
      <c r="A14" s="3" t="inlineStr">
        <is>
          <t>说明</t>
        </is>
      </c>
      <c r="B14" s="4" t="inlineStr">
        <is>
          <t>示例数据为确定性随机生成，仅用于演示仪表盘结构，请替换为真实业务数据。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6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5" t="inlineStr">
        <is>
          <t>月份</t>
        </is>
      </c>
      <c r="B1" s="5" t="inlineStr">
        <is>
          <t>产品线</t>
        </is>
      </c>
      <c r="C1" s="5" t="inlineStr">
        <is>
          <t>区域</t>
        </is>
      </c>
      <c r="D1" s="5" t="inlineStr">
        <is>
          <t>销售员</t>
        </is>
      </c>
      <c r="E1" s="5" t="inlineStr">
        <is>
          <t>客户</t>
        </is>
      </c>
      <c r="F1" s="5" t="inlineStr">
        <is>
          <t>销售额</t>
        </is>
      </c>
      <c r="G1" s="5" t="inlineStr">
        <is>
          <t>成本</t>
        </is>
      </c>
    </row>
    <row r="2">
      <c r="A2" s="6" t="inlineStr">
        <is>
          <t>2025-01</t>
        </is>
      </c>
      <c r="B2" s="6" t="inlineStr">
        <is>
          <t>篮球装备</t>
        </is>
      </c>
      <c r="C2" s="6" t="inlineStr">
        <is>
          <t>华东</t>
        </is>
      </c>
      <c r="D2" s="6" t="inlineStr">
        <is>
          <t>张伟</t>
        </is>
      </c>
      <c r="E2" s="6" t="inlineStr">
        <is>
          <t>启航健身中心</t>
        </is>
      </c>
      <c r="F2" s="7" t="n">
        <v>90000</v>
      </c>
      <c r="G2" s="7" t="n">
        <v>59200</v>
      </c>
      <c r="H2" s="7" t="n">
        <v>30800</v>
      </c>
      <c r="I2" s="8" t="n">
        <v>0.3422222222222222</v>
      </c>
    </row>
    <row r="3">
      <c r="A3" s="6" t="inlineStr">
        <is>
          <t>2025-01</t>
        </is>
      </c>
      <c r="B3" s="6" t="inlineStr">
        <is>
          <t>篮球装备</t>
        </is>
      </c>
      <c r="C3" s="6" t="inlineStr">
        <is>
          <t>华东</t>
        </is>
      </c>
      <c r="D3" s="6" t="inlineStr">
        <is>
          <t>李娜</t>
        </is>
      </c>
      <c r="E3" s="6" t="inlineStr">
        <is>
          <t>篮途体育文化</t>
        </is>
      </c>
      <c r="F3" s="7" t="n">
        <v>97200</v>
      </c>
      <c r="G3" s="7" t="n">
        <v>61900</v>
      </c>
      <c r="H3" s="7" t="n">
        <v>35300</v>
      </c>
      <c r="I3" s="8" t="n">
        <v>0.3631687242798354</v>
      </c>
    </row>
    <row r="4">
      <c r="A4" s="6" t="inlineStr">
        <is>
          <t>2025-01</t>
        </is>
      </c>
      <c r="B4" s="6" t="inlineStr">
        <is>
          <t>篮球装备</t>
        </is>
      </c>
      <c r="C4" s="6" t="inlineStr">
        <is>
          <t>华东</t>
        </is>
      </c>
      <c r="D4" s="6" t="inlineStr">
        <is>
          <t>王芳</t>
        </is>
      </c>
      <c r="E4" s="6" t="inlineStr">
        <is>
          <t>跃动少儿运动馆</t>
        </is>
      </c>
      <c r="F4" s="7" t="n">
        <v>90700</v>
      </c>
      <c r="G4" s="7" t="n">
        <v>60200</v>
      </c>
      <c r="H4" s="7" t="n">
        <v>30500</v>
      </c>
      <c r="I4" s="8" t="n">
        <v>0.3362734288864388</v>
      </c>
    </row>
    <row r="5">
      <c r="A5" s="6" t="inlineStr">
        <is>
          <t>2025-01</t>
        </is>
      </c>
      <c r="B5" s="6" t="inlineStr">
        <is>
          <t>篮球装备</t>
        </is>
      </c>
      <c r="C5" s="6" t="inlineStr">
        <is>
          <t>华东</t>
        </is>
      </c>
      <c r="D5" s="6" t="inlineStr">
        <is>
          <t>刘强</t>
        </is>
      </c>
      <c r="E5" s="6" t="inlineStr">
        <is>
          <t>成长树运动馆</t>
        </is>
      </c>
      <c r="F5" s="7" t="n">
        <v>67600</v>
      </c>
      <c r="G5" s="7" t="n">
        <v>42200</v>
      </c>
      <c r="H5" s="7" t="n">
        <v>25400</v>
      </c>
      <c r="I5" s="8" t="n">
        <v>0.3757396449704142</v>
      </c>
    </row>
    <row r="6">
      <c r="A6" s="6" t="inlineStr">
        <is>
          <t>2025-01</t>
        </is>
      </c>
      <c r="B6" s="6" t="inlineStr">
        <is>
          <t>篮球装备</t>
        </is>
      </c>
      <c r="C6" s="6" t="inlineStr">
        <is>
          <t>华东</t>
        </is>
      </c>
      <c r="D6" s="6" t="inlineStr">
        <is>
          <t>陈静</t>
        </is>
      </c>
      <c r="E6" s="6" t="inlineStr">
        <is>
          <t>健将体育</t>
        </is>
      </c>
      <c r="F6" s="7" t="n">
        <v>76800</v>
      </c>
      <c r="G6" s="7" t="n">
        <v>50300</v>
      </c>
      <c r="H6" s="7" t="n">
        <v>26500</v>
      </c>
      <c r="I6" s="8" t="n">
        <v>0.3450520833333333</v>
      </c>
    </row>
    <row r="7">
      <c r="A7" s="6" t="inlineStr">
        <is>
          <t>2025-01</t>
        </is>
      </c>
      <c r="B7" s="6" t="inlineStr">
        <is>
          <t>篮球装备</t>
        </is>
      </c>
      <c r="C7" s="6" t="inlineStr">
        <is>
          <t>华北</t>
        </is>
      </c>
      <c r="D7" s="6" t="inlineStr">
        <is>
          <t>张伟</t>
        </is>
      </c>
      <c r="E7" s="6" t="inlineStr">
        <is>
          <t>飞跃训练营</t>
        </is>
      </c>
      <c r="F7" s="7" t="n">
        <v>62100</v>
      </c>
      <c r="G7" s="7" t="n">
        <v>41800</v>
      </c>
      <c r="H7" s="7" t="n">
        <v>20300</v>
      </c>
      <c r="I7" s="8" t="n">
        <v>0.3268921095008052</v>
      </c>
    </row>
    <row r="8">
      <c r="A8" s="6" t="inlineStr">
        <is>
          <t>2025-01</t>
        </is>
      </c>
      <c r="B8" s="6" t="inlineStr">
        <is>
          <t>篮球装备</t>
        </is>
      </c>
      <c r="C8" s="6" t="inlineStr">
        <is>
          <t>华北</t>
        </is>
      </c>
      <c r="D8" s="6" t="inlineStr">
        <is>
          <t>李娜</t>
        </is>
      </c>
      <c r="E8" s="6" t="inlineStr">
        <is>
          <t>巅峰运动</t>
        </is>
      </c>
      <c r="F8" s="7" t="n">
        <v>62700</v>
      </c>
      <c r="G8" s="7" t="n">
        <v>40500</v>
      </c>
      <c r="H8" s="7" t="n">
        <v>22200</v>
      </c>
      <c r="I8" s="8" t="n">
        <v>0.354066985645933</v>
      </c>
    </row>
    <row r="9">
      <c r="A9" s="6" t="inlineStr">
        <is>
          <t>2025-01</t>
        </is>
      </c>
      <c r="B9" s="6" t="inlineStr">
        <is>
          <t>篮球装备</t>
        </is>
      </c>
      <c r="C9" s="6" t="inlineStr">
        <is>
          <t>华北</t>
        </is>
      </c>
      <c r="D9" s="6" t="inlineStr">
        <is>
          <t>王芳</t>
        </is>
      </c>
      <c r="E9" s="6" t="inlineStr">
        <is>
          <t>星跃体育</t>
        </is>
      </c>
      <c r="F9" s="7" t="n">
        <v>71700</v>
      </c>
      <c r="G9" s="7" t="n">
        <v>44700</v>
      </c>
      <c r="H9" s="7" t="n">
        <v>27000</v>
      </c>
      <c r="I9" s="8" t="n">
        <v>0.3765690376569037</v>
      </c>
    </row>
    <row r="10">
      <c r="A10" s="6" t="inlineStr">
        <is>
          <t>2025-01</t>
        </is>
      </c>
      <c r="B10" s="6" t="inlineStr">
        <is>
          <t>篮球装备</t>
        </is>
      </c>
      <c r="C10" s="6" t="inlineStr">
        <is>
          <t>华北</t>
        </is>
      </c>
      <c r="D10" s="6" t="inlineStr">
        <is>
          <t>刘强</t>
        </is>
      </c>
      <c r="E10" s="6" t="inlineStr">
        <is>
          <t>小飞侠运动俱乐部</t>
        </is>
      </c>
      <c r="F10" s="7" t="n">
        <v>56600</v>
      </c>
      <c r="G10" s="7" t="n">
        <v>35600</v>
      </c>
      <c r="H10" s="7" t="n">
        <v>21000</v>
      </c>
      <c r="I10" s="8" t="n">
        <v>0.3710247349823322</v>
      </c>
    </row>
    <row r="11">
      <c r="A11" s="6" t="inlineStr">
        <is>
          <t>2025-01</t>
        </is>
      </c>
      <c r="B11" s="6" t="inlineStr">
        <is>
          <t>篮球装备</t>
        </is>
      </c>
      <c r="C11" s="6" t="inlineStr">
        <is>
          <t>华北</t>
        </is>
      </c>
      <c r="D11" s="6" t="inlineStr">
        <is>
          <t>陈静</t>
        </is>
      </c>
      <c r="E11" s="6" t="inlineStr">
        <is>
          <t>小小运动家</t>
        </is>
      </c>
      <c r="F11" s="7" t="n">
        <v>62500</v>
      </c>
      <c r="G11" s="7" t="n">
        <v>41100</v>
      </c>
      <c r="H11" s="7" t="n">
        <v>21400</v>
      </c>
      <c r="I11" s="8" t="n">
        <v>0.3424</v>
      </c>
    </row>
    <row r="12">
      <c r="A12" s="6" t="inlineStr">
        <is>
          <t>2025-01</t>
        </is>
      </c>
      <c r="B12" s="6" t="inlineStr">
        <is>
          <t>篮球装备</t>
        </is>
      </c>
      <c r="C12" s="6" t="inlineStr">
        <is>
          <t>华南</t>
        </is>
      </c>
      <c r="D12" s="6" t="inlineStr">
        <is>
          <t>张伟</t>
        </is>
      </c>
      <c r="E12" s="6" t="inlineStr">
        <is>
          <t>成长树运动馆</t>
        </is>
      </c>
      <c r="F12" s="7" t="n">
        <v>70800</v>
      </c>
      <c r="G12" s="7" t="n">
        <v>44600</v>
      </c>
      <c r="H12" s="7" t="n">
        <v>26200</v>
      </c>
      <c r="I12" s="8" t="n">
        <v>0.3700564971751412</v>
      </c>
    </row>
    <row r="13">
      <c r="A13" s="6" t="inlineStr">
        <is>
          <t>2025-01</t>
        </is>
      </c>
      <c r="B13" s="6" t="inlineStr">
        <is>
          <t>篮球装备</t>
        </is>
      </c>
      <c r="C13" s="6" t="inlineStr">
        <is>
          <t>华南</t>
        </is>
      </c>
      <c r="D13" s="6" t="inlineStr">
        <is>
          <t>李娜</t>
        </is>
      </c>
      <c r="E13" s="6" t="inlineStr">
        <is>
          <t>元气营养</t>
        </is>
      </c>
      <c r="F13" s="7" t="n">
        <v>62200</v>
      </c>
      <c r="G13" s="7" t="n">
        <v>40900</v>
      </c>
      <c r="H13" s="7" t="n">
        <v>21300</v>
      </c>
      <c r="I13" s="8" t="n">
        <v>0.342443729903537</v>
      </c>
    </row>
    <row r="14">
      <c r="A14" s="6" t="inlineStr">
        <is>
          <t>2025-01</t>
        </is>
      </c>
      <c r="B14" s="6" t="inlineStr">
        <is>
          <t>篮球装备</t>
        </is>
      </c>
      <c r="C14" s="6" t="inlineStr">
        <is>
          <t>华南</t>
        </is>
      </c>
      <c r="D14" s="6" t="inlineStr">
        <is>
          <t>王芳</t>
        </is>
      </c>
      <c r="E14" s="6" t="inlineStr">
        <is>
          <t>强体体育</t>
        </is>
      </c>
      <c r="F14" s="7" t="n">
        <v>64600</v>
      </c>
      <c r="G14" s="7" t="n">
        <v>40600</v>
      </c>
      <c r="H14" s="7" t="n">
        <v>24000</v>
      </c>
      <c r="I14" s="8" t="n">
        <v>0.3715170278637771</v>
      </c>
    </row>
    <row r="15">
      <c r="A15" s="6" t="inlineStr">
        <is>
          <t>2025-01</t>
        </is>
      </c>
      <c r="B15" s="6" t="inlineStr">
        <is>
          <t>篮球装备</t>
        </is>
      </c>
      <c r="C15" s="6" t="inlineStr">
        <is>
          <t>华南</t>
        </is>
      </c>
      <c r="D15" s="6" t="inlineStr">
        <is>
          <t>刘强</t>
        </is>
      </c>
      <c r="E15" s="6" t="inlineStr">
        <is>
          <t>乐动体育</t>
        </is>
      </c>
      <c r="F15" s="7" t="n">
        <v>67800</v>
      </c>
      <c r="G15" s="7" t="n">
        <v>42800</v>
      </c>
      <c r="H15" s="7" t="n">
        <v>25000</v>
      </c>
      <c r="I15" s="8" t="n">
        <v>0.3687315634218289</v>
      </c>
    </row>
    <row r="16">
      <c r="A16" s="6" t="inlineStr">
        <is>
          <t>2025-01</t>
        </is>
      </c>
      <c r="B16" s="6" t="inlineStr">
        <is>
          <t>篮球装备</t>
        </is>
      </c>
      <c r="C16" s="6" t="inlineStr">
        <is>
          <t>华南</t>
        </is>
      </c>
      <c r="D16" s="6" t="inlineStr">
        <is>
          <t>陈静</t>
        </is>
      </c>
      <c r="E16" s="6" t="inlineStr">
        <is>
          <t>锐健身工作室</t>
        </is>
      </c>
      <c r="F16" s="7" t="n">
        <v>73500</v>
      </c>
      <c r="G16" s="7" t="n">
        <v>48500</v>
      </c>
      <c r="H16" s="7" t="n">
        <v>25000</v>
      </c>
      <c r="I16" s="8" t="n">
        <v>0.3401360544217687</v>
      </c>
    </row>
    <row r="17">
      <c r="A17" s="6" t="inlineStr">
        <is>
          <t>2025-01</t>
        </is>
      </c>
      <c r="B17" s="6" t="inlineStr">
        <is>
          <t>篮球装备</t>
        </is>
      </c>
      <c r="C17" s="6" t="inlineStr">
        <is>
          <t>西部</t>
        </is>
      </c>
      <c r="D17" s="6" t="inlineStr">
        <is>
          <t>张伟</t>
        </is>
      </c>
      <c r="E17" s="6" t="inlineStr">
        <is>
          <t>茁长少儿体适能</t>
        </is>
      </c>
      <c r="F17" s="7" t="n">
        <v>46600</v>
      </c>
      <c r="G17" s="7" t="n">
        <v>29300</v>
      </c>
      <c r="H17" s="7" t="n">
        <v>17300</v>
      </c>
      <c r="I17" s="8" t="n">
        <v>0.3712446351931331</v>
      </c>
    </row>
    <row r="18">
      <c r="A18" s="6" t="inlineStr">
        <is>
          <t>2025-01</t>
        </is>
      </c>
      <c r="B18" s="6" t="inlineStr">
        <is>
          <t>篮球装备</t>
        </is>
      </c>
      <c r="C18" s="6" t="inlineStr">
        <is>
          <t>西部</t>
        </is>
      </c>
      <c r="D18" s="6" t="inlineStr">
        <is>
          <t>李娜</t>
        </is>
      </c>
      <c r="E18" s="6" t="inlineStr">
        <is>
          <t>动能营养</t>
        </is>
      </c>
      <c r="F18" s="7" t="n">
        <v>49600</v>
      </c>
      <c r="G18" s="7" t="n">
        <v>32000</v>
      </c>
      <c r="H18" s="7" t="n">
        <v>17600</v>
      </c>
      <c r="I18" s="8" t="n">
        <v>0.3548387096774194</v>
      </c>
    </row>
    <row r="19">
      <c r="A19" s="6" t="inlineStr">
        <is>
          <t>2025-01</t>
        </is>
      </c>
      <c r="B19" s="6" t="inlineStr">
        <is>
          <t>篮球装备</t>
        </is>
      </c>
      <c r="C19" s="6" t="inlineStr">
        <is>
          <t>西部</t>
        </is>
      </c>
      <c r="D19" s="6" t="inlineStr">
        <is>
          <t>王芳</t>
        </is>
      </c>
      <c r="E19" s="6" t="inlineStr">
        <is>
          <t>小飞侠运动俱乐部</t>
        </is>
      </c>
      <c r="F19" s="7" t="n">
        <v>42600</v>
      </c>
      <c r="G19" s="7" t="n">
        <v>27000</v>
      </c>
      <c r="H19" s="7" t="n">
        <v>15600</v>
      </c>
      <c r="I19" s="8" t="n">
        <v>0.3661971830985916</v>
      </c>
    </row>
    <row r="20">
      <c r="A20" s="6" t="inlineStr">
        <is>
          <t>2025-01</t>
        </is>
      </c>
      <c r="B20" s="6" t="inlineStr">
        <is>
          <t>篮球装备</t>
        </is>
      </c>
      <c r="C20" s="6" t="inlineStr">
        <is>
          <t>西部</t>
        </is>
      </c>
      <c r="D20" s="6" t="inlineStr">
        <is>
          <t>刘强</t>
        </is>
      </c>
      <c r="E20" s="6" t="inlineStr">
        <is>
          <t>智练体育</t>
        </is>
      </c>
      <c r="F20" s="7" t="n">
        <v>47700</v>
      </c>
      <c r="G20" s="7" t="n">
        <v>31200</v>
      </c>
      <c r="H20" s="7" t="n">
        <v>16500</v>
      </c>
      <c r="I20" s="8" t="n">
        <v>0.3459119496855346</v>
      </c>
    </row>
    <row r="21">
      <c r="A21" s="6" t="inlineStr">
        <is>
          <t>2025-01</t>
        </is>
      </c>
      <c r="B21" s="6" t="inlineStr">
        <is>
          <t>篮球装备</t>
        </is>
      </c>
      <c r="C21" s="6" t="inlineStr">
        <is>
          <t>西部</t>
        </is>
      </c>
      <c r="D21" s="6" t="inlineStr">
        <is>
          <t>陈静</t>
        </is>
      </c>
      <c r="E21" s="6" t="inlineStr">
        <is>
          <t>童行运动馆</t>
        </is>
      </c>
      <c r="F21" s="7" t="n">
        <v>45100</v>
      </c>
      <c r="G21" s="7" t="n">
        <v>29900</v>
      </c>
      <c r="H21" s="7" t="n">
        <v>15200</v>
      </c>
      <c r="I21" s="8" t="n">
        <v>0.3370288248337029</v>
      </c>
    </row>
    <row r="22">
      <c r="A22" s="6" t="inlineStr">
        <is>
          <t>2025-01</t>
        </is>
      </c>
      <c r="B22" s="6" t="inlineStr">
        <is>
          <t>体适能器材</t>
        </is>
      </c>
      <c r="C22" s="6" t="inlineStr">
        <is>
          <t>华东</t>
        </is>
      </c>
      <c r="D22" s="6" t="inlineStr">
        <is>
          <t>张伟</t>
        </is>
      </c>
      <c r="E22" s="6" t="inlineStr">
        <is>
          <t>恒康营养</t>
        </is>
      </c>
      <c r="F22" s="7" t="n">
        <v>69700</v>
      </c>
      <c r="G22" s="7" t="n">
        <v>49300</v>
      </c>
      <c r="H22" s="7" t="n">
        <v>20400</v>
      </c>
      <c r="I22" s="8" t="n">
        <v>0.2926829268292683</v>
      </c>
    </row>
    <row r="23">
      <c r="A23" s="6" t="inlineStr">
        <is>
          <t>2025-01</t>
        </is>
      </c>
      <c r="B23" s="6" t="inlineStr">
        <is>
          <t>体适能器材</t>
        </is>
      </c>
      <c r="C23" s="6" t="inlineStr">
        <is>
          <t>华东</t>
        </is>
      </c>
      <c r="D23" s="6" t="inlineStr">
        <is>
          <t>李娜</t>
        </is>
      </c>
      <c r="E23" s="6" t="inlineStr">
        <is>
          <t>锐动体育用品</t>
        </is>
      </c>
      <c r="F23" s="7" t="n">
        <v>57100</v>
      </c>
      <c r="G23" s="7" t="n">
        <v>41300</v>
      </c>
      <c r="H23" s="7" t="n">
        <v>15800</v>
      </c>
      <c r="I23" s="8" t="n">
        <v>0.276707530647986</v>
      </c>
    </row>
    <row r="24">
      <c r="A24" s="6" t="inlineStr">
        <is>
          <t>2025-01</t>
        </is>
      </c>
      <c r="B24" s="6" t="inlineStr">
        <is>
          <t>体适能器材</t>
        </is>
      </c>
      <c r="C24" s="6" t="inlineStr">
        <is>
          <t>华东</t>
        </is>
      </c>
      <c r="D24" s="6" t="inlineStr">
        <is>
          <t>王芳</t>
        </is>
      </c>
      <c r="E24" s="6" t="inlineStr">
        <is>
          <t>风云篮球馆</t>
        </is>
      </c>
      <c r="F24" s="7" t="n">
        <v>70300</v>
      </c>
      <c r="G24" s="7" t="n">
        <v>48300</v>
      </c>
      <c r="H24" s="7" t="n">
        <v>22000</v>
      </c>
      <c r="I24" s="8" t="n">
        <v>0.3129445234708393</v>
      </c>
    </row>
    <row r="25">
      <c r="A25" s="6" t="inlineStr">
        <is>
          <t>2025-01</t>
        </is>
      </c>
      <c r="B25" s="6" t="inlineStr">
        <is>
          <t>体适能器材</t>
        </is>
      </c>
      <c r="C25" s="6" t="inlineStr">
        <is>
          <t>华东</t>
        </is>
      </c>
      <c r="D25" s="6" t="inlineStr">
        <is>
          <t>刘强</t>
        </is>
      </c>
      <c r="E25" s="6" t="inlineStr">
        <is>
          <t>锋行体育</t>
        </is>
      </c>
      <c r="F25" s="7" t="n">
        <v>50800</v>
      </c>
      <c r="G25" s="7" t="n">
        <v>36600</v>
      </c>
      <c r="H25" s="7" t="n">
        <v>14200</v>
      </c>
      <c r="I25" s="8" t="n">
        <v>0.2795275590551181</v>
      </c>
    </row>
    <row r="26">
      <c r="A26" s="6" t="inlineStr">
        <is>
          <t>2025-01</t>
        </is>
      </c>
      <c r="B26" s="6" t="inlineStr">
        <is>
          <t>体适能器材</t>
        </is>
      </c>
      <c r="C26" s="6" t="inlineStr">
        <is>
          <t>华东</t>
        </is>
      </c>
      <c r="D26" s="6" t="inlineStr">
        <is>
          <t>陈静</t>
        </is>
      </c>
      <c r="E26" s="6" t="inlineStr">
        <is>
          <t>小飞侠运动俱乐部</t>
        </is>
      </c>
      <c r="F26" s="7" t="n">
        <v>65100</v>
      </c>
      <c r="G26" s="7" t="n">
        <v>43700</v>
      </c>
      <c r="H26" s="7" t="n">
        <v>21400</v>
      </c>
      <c r="I26" s="8" t="n">
        <v>0.3287250384024578</v>
      </c>
    </row>
    <row r="27">
      <c r="A27" s="6" t="inlineStr">
        <is>
          <t>2025-01</t>
        </is>
      </c>
      <c r="B27" s="6" t="inlineStr">
        <is>
          <t>体适能器材</t>
        </is>
      </c>
      <c r="C27" s="6" t="inlineStr">
        <is>
          <t>华北</t>
        </is>
      </c>
      <c r="D27" s="6" t="inlineStr">
        <is>
          <t>张伟</t>
        </is>
      </c>
      <c r="E27" s="6" t="inlineStr">
        <is>
          <t>跃动少儿运动馆</t>
        </is>
      </c>
      <c r="F27" s="7" t="n">
        <v>55300</v>
      </c>
      <c r="G27" s="7" t="n">
        <v>40200</v>
      </c>
      <c r="H27" s="7" t="n">
        <v>15100</v>
      </c>
      <c r="I27" s="8" t="n">
        <v>0.2730560578661845</v>
      </c>
    </row>
    <row r="28">
      <c r="A28" s="6" t="inlineStr">
        <is>
          <t>2025-01</t>
        </is>
      </c>
      <c r="B28" s="6" t="inlineStr">
        <is>
          <t>体适能器材</t>
        </is>
      </c>
      <c r="C28" s="6" t="inlineStr">
        <is>
          <t>华北</t>
        </is>
      </c>
      <c r="D28" s="6" t="inlineStr">
        <is>
          <t>李娜</t>
        </is>
      </c>
      <c r="E28" s="6" t="inlineStr">
        <is>
          <t>冠军之路俱乐部</t>
        </is>
      </c>
      <c r="F28" s="7" t="n">
        <v>51000</v>
      </c>
      <c r="G28" s="7" t="n">
        <v>34200</v>
      </c>
      <c r="H28" s="7" t="n">
        <v>16800</v>
      </c>
      <c r="I28" s="8" t="n">
        <v>0.3294117647058823</v>
      </c>
    </row>
    <row r="29">
      <c r="A29" s="6" t="inlineStr">
        <is>
          <t>2025-01</t>
        </is>
      </c>
      <c r="B29" s="6" t="inlineStr">
        <is>
          <t>体适能器材</t>
        </is>
      </c>
      <c r="C29" s="6" t="inlineStr">
        <is>
          <t>华北</t>
        </is>
      </c>
      <c r="D29" s="6" t="inlineStr">
        <is>
          <t>王芳</t>
        </is>
      </c>
      <c r="E29" s="6" t="inlineStr">
        <is>
          <t>童行运动馆</t>
        </is>
      </c>
      <c r="F29" s="7" t="n">
        <v>58600</v>
      </c>
      <c r="G29" s="7" t="n">
        <v>42400</v>
      </c>
      <c r="H29" s="7" t="n">
        <v>16200</v>
      </c>
      <c r="I29" s="8" t="n">
        <v>0.2764505119453925</v>
      </c>
    </row>
    <row r="30">
      <c r="A30" s="6" t="inlineStr">
        <is>
          <t>2025-01</t>
        </is>
      </c>
      <c r="B30" s="6" t="inlineStr">
        <is>
          <t>体适能器材</t>
        </is>
      </c>
      <c r="C30" s="6" t="inlineStr">
        <is>
          <t>华北</t>
        </is>
      </c>
      <c r="D30" s="6" t="inlineStr">
        <is>
          <t>刘强</t>
        </is>
      </c>
      <c r="E30" s="6" t="inlineStr">
        <is>
          <t>小小运动家</t>
        </is>
      </c>
      <c r="F30" s="7" t="n">
        <v>42900</v>
      </c>
      <c r="G30" s="7" t="n">
        <v>30400</v>
      </c>
      <c r="H30" s="7" t="n">
        <v>12500</v>
      </c>
      <c r="I30" s="8" t="n">
        <v>0.2913752913752914</v>
      </c>
    </row>
    <row r="31">
      <c r="A31" s="6" t="inlineStr">
        <is>
          <t>2025-01</t>
        </is>
      </c>
      <c r="B31" s="6" t="inlineStr">
        <is>
          <t>体适能器材</t>
        </is>
      </c>
      <c r="C31" s="6" t="inlineStr">
        <is>
          <t>华北</t>
        </is>
      </c>
      <c r="D31" s="6" t="inlineStr">
        <is>
          <t>陈静</t>
        </is>
      </c>
      <c r="E31" s="6" t="inlineStr">
        <is>
          <t>雷霆篮球</t>
        </is>
      </c>
      <c r="F31" s="7" t="n">
        <v>52100</v>
      </c>
      <c r="G31" s="7" t="n">
        <v>35300</v>
      </c>
      <c r="H31" s="7" t="n">
        <v>16800</v>
      </c>
      <c r="I31" s="8" t="n">
        <v>0.3224568138195777</v>
      </c>
    </row>
    <row r="32">
      <c r="A32" s="6" t="inlineStr">
        <is>
          <t>2025-01</t>
        </is>
      </c>
      <c r="B32" s="6" t="inlineStr">
        <is>
          <t>体适能器材</t>
        </is>
      </c>
      <c r="C32" s="6" t="inlineStr">
        <is>
          <t>华南</t>
        </is>
      </c>
      <c r="D32" s="6" t="inlineStr">
        <is>
          <t>张伟</t>
        </is>
      </c>
      <c r="E32" s="6" t="inlineStr">
        <is>
          <t>风云篮球馆</t>
        </is>
      </c>
      <c r="F32" s="7" t="n">
        <v>51100</v>
      </c>
      <c r="G32" s="7" t="n">
        <v>34900</v>
      </c>
      <c r="H32" s="7" t="n">
        <v>16200</v>
      </c>
      <c r="I32" s="8" t="n">
        <v>0.3170254403131115</v>
      </c>
    </row>
    <row r="33">
      <c r="A33" s="6" t="inlineStr">
        <is>
          <t>2025-01</t>
        </is>
      </c>
      <c r="B33" s="6" t="inlineStr">
        <is>
          <t>体适能器材</t>
        </is>
      </c>
      <c r="C33" s="6" t="inlineStr">
        <is>
          <t>华南</t>
        </is>
      </c>
      <c r="D33" s="6" t="inlineStr">
        <is>
          <t>李娜</t>
        </is>
      </c>
      <c r="E33" s="6" t="inlineStr">
        <is>
          <t>启航健身中心</t>
        </is>
      </c>
      <c r="F33" s="7" t="n">
        <v>53900</v>
      </c>
      <c r="G33" s="7" t="n">
        <v>37200</v>
      </c>
      <c r="H33" s="7" t="n">
        <v>16700</v>
      </c>
      <c r="I33" s="8" t="n">
        <v>0.3098330241187384</v>
      </c>
    </row>
    <row r="34">
      <c r="A34" s="6" t="inlineStr">
        <is>
          <t>2025-01</t>
        </is>
      </c>
      <c r="B34" s="6" t="inlineStr">
        <is>
          <t>体适能器材</t>
        </is>
      </c>
      <c r="C34" s="6" t="inlineStr">
        <is>
          <t>华南</t>
        </is>
      </c>
      <c r="D34" s="6" t="inlineStr">
        <is>
          <t>王芳</t>
        </is>
      </c>
      <c r="E34" s="6" t="inlineStr">
        <is>
          <t>智练体育</t>
        </is>
      </c>
      <c r="F34" s="7" t="n">
        <v>57500</v>
      </c>
      <c r="G34" s="7" t="n">
        <v>38900</v>
      </c>
      <c r="H34" s="7" t="n">
        <v>18600</v>
      </c>
      <c r="I34" s="8" t="n">
        <v>0.3234782608695652</v>
      </c>
    </row>
    <row r="35">
      <c r="A35" s="6" t="inlineStr">
        <is>
          <t>2025-01</t>
        </is>
      </c>
      <c r="B35" s="6" t="inlineStr">
        <is>
          <t>体适能器材</t>
        </is>
      </c>
      <c r="C35" s="6" t="inlineStr">
        <is>
          <t>华南</t>
        </is>
      </c>
      <c r="D35" s="6" t="inlineStr">
        <is>
          <t>刘强</t>
        </is>
      </c>
      <c r="E35" s="6" t="inlineStr">
        <is>
          <t>活力无限健身</t>
        </is>
      </c>
      <c r="F35" s="7" t="n">
        <v>54100</v>
      </c>
      <c r="G35" s="7" t="n">
        <v>38000</v>
      </c>
      <c r="H35" s="7" t="n">
        <v>16100</v>
      </c>
      <c r="I35" s="8" t="n">
        <v>0.2975970425138632</v>
      </c>
    </row>
    <row r="36">
      <c r="A36" s="6" t="inlineStr">
        <is>
          <t>2025-01</t>
        </is>
      </c>
      <c r="B36" s="6" t="inlineStr">
        <is>
          <t>体适能器材</t>
        </is>
      </c>
      <c r="C36" s="6" t="inlineStr">
        <is>
          <t>华南</t>
        </is>
      </c>
      <c r="D36" s="6" t="inlineStr">
        <is>
          <t>陈静</t>
        </is>
      </c>
      <c r="E36" s="6" t="inlineStr">
        <is>
          <t>锐动体育用品</t>
        </is>
      </c>
      <c r="F36" s="7" t="n">
        <v>54300</v>
      </c>
      <c r="G36" s="7" t="n">
        <v>36600</v>
      </c>
      <c r="H36" s="7" t="n">
        <v>17700</v>
      </c>
      <c r="I36" s="8" t="n">
        <v>0.3259668508287293</v>
      </c>
    </row>
    <row r="37">
      <c r="A37" s="6" t="inlineStr">
        <is>
          <t>2025-01</t>
        </is>
      </c>
      <c r="B37" s="6" t="inlineStr">
        <is>
          <t>体适能器材</t>
        </is>
      </c>
      <c r="C37" s="6" t="inlineStr">
        <is>
          <t>西部</t>
        </is>
      </c>
      <c r="D37" s="6" t="inlineStr">
        <is>
          <t>张伟</t>
        </is>
      </c>
      <c r="E37" s="6" t="inlineStr">
        <is>
          <t>小小运动家</t>
        </is>
      </c>
      <c r="F37" s="7" t="n">
        <v>39400</v>
      </c>
      <c r="G37" s="7" t="n">
        <v>27300</v>
      </c>
      <c r="H37" s="7" t="n">
        <v>12100</v>
      </c>
      <c r="I37" s="8" t="n">
        <v>0.3071065989847716</v>
      </c>
    </row>
    <row r="38">
      <c r="A38" s="6" t="inlineStr">
        <is>
          <t>2025-01</t>
        </is>
      </c>
      <c r="B38" s="6" t="inlineStr">
        <is>
          <t>体适能器材</t>
        </is>
      </c>
      <c r="C38" s="6" t="inlineStr">
        <is>
          <t>西部</t>
        </is>
      </c>
      <c r="D38" s="6" t="inlineStr">
        <is>
          <t>李娜</t>
        </is>
      </c>
      <c r="E38" s="6" t="inlineStr">
        <is>
          <t>阳光体能</t>
        </is>
      </c>
      <c r="F38" s="7" t="n">
        <v>35900</v>
      </c>
      <c r="G38" s="7" t="n">
        <v>25400</v>
      </c>
      <c r="H38" s="7" t="n">
        <v>10500</v>
      </c>
      <c r="I38" s="8" t="n">
        <v>0.2924791086350975</v>
      </c>
    </row>
    <row r="39">
      <c r="A39" s="6" t="inlineStr">
        <is>
          <t>2025-01</t>
        </is>
      </c>
      <c r="B39" s="6" t="inlineStr">
        <is>
          <t>体适能器材</t>
        </is>
      </c>
      <c r="C39" s="6" t="inlineStr">
        <is>
          <t>西部</t>
        </is>
      </c>
      <c r="D39" s="6" t="inlineStr">
        <is>
          <t>王芳</t>
        </is>
      </c>
      <c r="E39" s="6" t="inlineStr">
        <is>
          <t>跃动少儿运动馆</t>
        </is>
      </c>
      <c r="F39" s="7" t="n">
        <v>33000</v>
      </c>
      <c r="G39" s="7" t="n">
        <v>23500</v>
      </c>
      <c r="H39" s="7" t="n">
        <v>9500</v>
      </c>
      <c r="I39" s="8" t="n">
        <v>0.2878787878787879</v>
      </c>
    </row>
    <row r="40">
      <c r="A40" s="6" t="inlineStr">
        <is>
          <t>2025-01</t>
        </is>
      </c>
      <c r="B40" s="6" t="inlineStr">
        <is>
          <t>体适能器材</t>
        </is>
      </c>
      <c r="C40" s="6" t="inlineStr">
        <is>
          <t>西部</t>
        </is>
      </c>
      <c r="D40" s="6" t="inlineStr">
        <is>
          <t>刘强</t>
        </is>
      </c>
      <c r="E40" s="6" t="inlineStr">
        <is>
          <t>动能营养</t>
        </is>
      </c>
      <c r="F40" s="7" t="n">
        <v>34000</v>
      </c>
      <c r="G40" s="7" t="n">
        <v>24700</v>
      </c>
      <c r="H40" s="7" t="n">
        <v>9300</v>
      </c>
      <c r="I40" s="8" t="n">
        <v>0.2735294117647059</v>
      </c>
    </row>
    <row r="41">
      <c r="A41" s="6" t="inlineStr">
        <is>
          <t>2025-01</t>
        </is>
      </c>
      <c r="B41" s="6" t="inlineStr">
        <is>
          <t>体适能器材</t>
        </is>
      </c>
      <c r="C41" s="6" t="inlineStr">
        <is>
          <t>西部</t>
        </is>
      </c>
      <c r="D41" s="6" t="inlineStr">
        <is>
          <t>陈静</t>
        </is>
      </c>
      <c r="E41" s="6" t="inlineStr">
        <is>
          <t>启航健身中心</t>
        </is>
      </c>
      <c r="F41" s="7" t="n">
        <v>33400</v>
      </c>
      <c r="G41" s="7" t="n">
        <v>24200</v>
      </c>
      <c r="H41" s="7" t="n">
        <v>9200</v>
      </c>
      <c r="I41" s="8" t="n">
        <v>0.2754491017964072</v>
      </c>
    </row>
    <row r="42">
      <c r="A42" s="6" t="inlineStr">
        <is>
          <t>2025-01</t>
        </is>
      </c>
      <c r="B42" s="6" t="inlineStr">
        <is>
          <t>训练服饰</t>
        </is>
      </c>
      <c r="C42" s="6" t="inlineStr">
        <is>
          <t>华东</t>
        </is>
      </c>
      <c r="D42" s="6" t="inlineStr">
        <is>
          <t>张伟</t>
        </is>
      </c>
      <c r="E42" s="6" t="inlineStr">
        <is>
          <t>童行运动馆</t>
        </is>
      </c>
      <c r="F42" s="7" t="n">
        <v>47600</v>
      </c>
      <c r="G42" s="7" t="n">
        <v>26700</v>
      </c>
      <c r="H42" s="7" t="n">
        <v>20900</v>
      </c>
      <c r="I42" s="8" t="n">
        <v>0.4390756302521008</v>
      </c>
    </row>
    <row r="43">
      <c r="A43" s="6" t="inlineStr">
        <is>
          <t>2025-01</t>
        </is>
      </c>
      <c r="B43" s="6" t="inlineStr">
        <is>
          <t>训练服饰</t>
        </is>
      </c>
      <c r="C43" s="6" t="inlineStr">
        <is>
          <t>华东</t>
        </is>
      </c>
      <c r="D43" s="6" t="inlineStr">
        <is>
          <t>李娜</t>
        </is>
      </c>
      <c r="E43" s="6" t="inlineStr">
        <is>
          <t>成长树运动馆</t>
        </is>
      </c>
      <c r="F43" s="7" t="n">
        <v>42100</v>
      </c>
      <c r="G43" s="7" t="n">
        <v>22200</v>
      </c>
      <c r="H43" s="7" t="n">
        <v>19900</v>
      </c>
      <c r="I43" s="8" t="n">
        <v>0.4726840855106889</v>
      </c>
    </row>
    <row r="44">
      <c r="A44" s="6" t="inlineStr">
        <is>
          <t>2025-01</t>
        </is>
      </c>
      <c r="B44" s="6" t="inlineStr">
        <is>
          <t>训练服饰</t>
        </is>
      </c>
      <c r="C44" s="6" t="inlineStr">
        <is>
          <t>华东</t>
        </is>
      </c>
      <c r="D44" s="6" t="inlineStr">
        <is>
          <t>王芳</t>
        </is>
      </c>
      <c r="E44" s="6" t="inlineStr">
        <is>
          <t>强体体育</t>
        </is>
      </c>
      <c r="F44" s="7" t="n">
        <v>40700</v>
      </c>
      <c r="G44" s="7" t="n">
        <v>21400</v>
      </c>
      <c r="H44" s="7" t="n">
        <v>19300</v>
      </c>
      <c r="I44" s="8" t="n">
        <v>0.4742014742014742</v>
      </c>
    </row>
    <row r="45">
      <c r="A45" s="6" t="inlineStr">
        <is>
          <t>2025-01</t>
        </is>
      </c>
      <c r="B45" s="6" t="inlineStr">
        <is>
          <t>训练服饰</t>
        </is>
      </c>
      <c r="C45" s="6" t="inlineStr">
        <is>
          <t>华东</t>
        </is>
      </c>
      <c r="D45" s="6" t="inlineStr">
        <is>
          <t>刘强</t>
        </is>
      </c>
      <c r="E45" s="6" t="inlineStr">
        <is>
          <t>超能体育</t>
        </is>
      </c>
      <c r="F45" s="7" t="n">
        <v>41100</v>
      </c>
      <c r="G45" s="7" t="n">
        <v>23000</v>
      </c>
      <c r="H45" s="7" t="n">
        <v>18100</v>
      </c>
      <c r="I45" s="8" t="n">
        <v>0.440389294403893</v>
      </c>
    </row>
    <row r="46">
      <c r="A46" s="6" t="inlineStr">
        <is>
          <t>2025-01</t>
        </is>
      </c>
      <c r="B46" s="6" t="inlineStr">
        <is>
          <t>训练服饰</t>
        </is>
      </c>
      <c r="C46" s="6" t="inlineStr">
        <is>
          <t>华东</t>
        </is>
      </c>
      <c r="D46" s="6" t="inlineStr">
        <is>
          <t>陈静</t>
        </is>
      </c>
      <c r="E46" s="6" t="inlineStr">
        <is>
          <t>智练体育</t>
        </is>
      </c>
      <c r="F46" s="7" t="n">
        <v>40200</v>
      </c>
      <c r="G46" s="7" t="n">
        <v>21500</v>
      </c>
      <c r="H46" s="7" t="n">
        <v>18700</v>
      </c>
      <c r="I46" s="8" t="n">
        <v>0.4651741293532338</v>
      </c>
    </row>
    <row r="47">
      <c r="A47" s="6" t="inlineStr">
        <is>
          <t>2025-01</t>
        </is>
      </c>
      <c r="B47" s="6" t="inlineStr">
        <is>
          <t>训练服饰</t>
        </is>
      </c>
      <c r="C47" s="6" t="inlineStr">
        <is>
          <t>华北</t>
        </is>
      </c>
      <c r="D47" s="6" t="inlineStr">
        <is>
          <t>张伟</t>
        </is>
      </c>
      <c r="E47" s="6" t="inlineStr">
        <is>
          <t>优加体能中心</t>
        </is>
      </c>
      <c r="F47" s="7" t="n">
        <v>33900</v>
      </c>
      <c r="G47" s="7" t="n">
        <v>19600</v>
      </c>
      <c r="H47" s="7" t="n">
        <v>14300</v>
      </c>
      <c r="I47" s="8" t="n">
        <v>0.4218289085545723</v>
      </c>
    </row>
    <row r="48">
      <c r="A48" s="6" t="inlineStr">
        <is>
          <t>2025-01</t>
        </is>
      </c>
      <c r="B48" s="6" t="inlineStr">
        <is>
          <t>训练服饰</t>
        </is>
      </c>
      <c r="C48" s="6" t="inlineStr">
        <is>
          <t>华北</t>
        </is>
      </c>
      <c r="D48" s="6" t="inlineStr">
        <is>
          <t>李娜</t>
        </is>
      </c>
      <c r="E48" s="6" t="inlineStr">
        <is>
          <t>恒康营养</t>
        </is>
      </c>
      <c r="F48" s="7" t="n">
        <v>36000</v>
      </c>
      <c r="G48" s="7" t="n">
        <v>20500</v>
      </c>
      <c r="H48" s="7" t="n">
        <v>15500</v>
      </c>
      <c r="I48" s="8" t="n">
        <v>0.4305555555555556</v>
      </c>
    </row>
    <row r="49">
      <c r="A49" s="6" t="inlineStr">
        <is>
          <t>2025-01</t>
        </is>
      </c>
      <c r="B49" s="6" t="inlineStr">
        <is>
          <t>训练服饰</t>
        </is>
      </c>
      <c r="C49" s="6" t="inlineStr">
        <is>
          <t>华北</t>
        </is>
      </c>
      <c r="D49" s="6" t="inlineStr">
        <is>
          <t>王芳</t>
        </is>
      </c>
      <c r="E49" s="6" t="inlineStr">
        <is>
          <t>锋行体育</t>
        </is>
      </c>
      <c r="F49" s="7" t="n">
        <v>32500</v>
      </c>
      <c r="G49" s="7" t="n">
        <v>18300</v>
      </c>
      <c r="H49" s="7" t="n">
        <v>14200</v>
      </c>
      <c r="I49" s="8" t="n">
        <v>0.4369230769230769</v>
      </c>
    </row>
    <row r="50">
      <c r="A50" s="6" t="inlineStr">
        <is>
          <t>2025-01</t>
        </is>
      </c>
      <c r="B50" s="6" t="inlineStr">
        <is>
          <t>训练服饰</t>
        </is>
      </c>
      <c r="C50" s="6" t="inlineStr">
        <is>
          <t>华北</t>
        </is>
      </c>
      <c r="D50" s="6" t="inlineStr">
        <is>
          <t>刘强</t>
        </is>
      </c>
      <c r="E50" s="6" t="inlineStr">
        <is>
          <t>启航健身中心</t>
        </is>
      </c>
      <c r="F50" s="7" t="n">
        <v>26700</v>
      </c>
      <c r="G50" s="7" t="n">
        <v>15500</v>
      </c>
      <c r="H50" s="7" t="n">
        <v>11200</v>
      </c>
      <c r="I50" s="8" t="n">
        <v>0.4194756554307116</v>
      </c>
    </row>
    <row r="51">
      <c r="A51" s="6" t="inlineStr">
        <is>
          <t>2025-01</t>
        </is>
      </c>
      <c r="B51" s="6" t="inlineStr">
        <is>
          <t>训练服饰</t>
        </is>
      </c>
      <c r="C51" s="6" t="inlineStr">
        <is>
          <t>华北</t>
        </is>
      </c>
      <c r="D51" s="6" t="inlineStr">
        <is>
          <t>陈静</t>
        </is>
      </c>
      <c r="E51" s="6" t="inlineStr">
        <is>
          <t>纵横运动</t>
        </is>
      </c>
      <c r="F51" s="7" t="n">
        <v>27400</v>
      </c>
      <c r="G51" s="7" t="n">
        <v>14500</v>
      </c>
      <c r="H51" s="7" t="n">
        <v>12900</v>
      </c>
      <c r="I51" s="8" t="n">
        <v>0.4708029197080292</v>
      </c>
    </row>
    <row r="52">
      <c r="A52" s="6" t="inlineStr">
        <is>
          <t>2025-01</t>
        </is>
      </c>
      <c r="B52" s="6" t="inlineStr">
        <is>
          <t>训练服饰</t>
        </is>
      </c>
      <c r="C52" s="6" t="inlineStr">
        <is>
          <t>华南</t>
        </is>
      </c>
      <c r="D52" s="6" t="inlineStr">
        <is>
          <t>张伟</t>
        </is>
      </c>
      <c r="E52" s="6" t="inlineStr">
        <is>
          <t>星跃体育</t>
        </is>
      </c>
      <c r="F52" s="7" t="n">
        <v>34000</v>
      </c>
      <c r="G52" s="7" t="n">
        <v>18600</v>
      </c>
      <c r="H52" s="7" t="n">
        <v>15400</v>
      </c>
      <c r="I52" s="8" t="n">
        <v>0.4529411764705882</v>
      </c>
    </row>
    <row r="53">
      <c r="A53" s="6" t="inlineStr">
        <is>
          <t>2025-01</t>
        </is>
      </c>
      <c r="B53" s="6" t="inlineStr">
        <is>
          <t>训练服饰</t>
        </is>
      </c>
      <c r="C53" s="6" t="inlineStr">
        <is>
          <t>华南</t>
        </is>
      </c>
      <c r="D53" s="6" t="inlineStr">
        <is>
          <t>李娜</t>
        </is>
      </c>
      <c r="E53" s="6" t="inlineStr">
        <is>
          <t>天天向上健身</t>
        </is>
      </c>
      <c r="F53" s="7" t="n">
        <v>36100</v>
      </c>
      <c r="G53" s="7" t="n">
        <v>20400</v>
      </c>
      <c r="H53" s="7" t="n">
        <v>15700</v>
      </c>
      <c r="I53" s="8" t="n">
        <v>0.4349030470914128</v>
      </c>
    </row>
    <row r="54">
      <c r="A54" s="6" t="inlineStr">
        <is>
          <t>2025-01</t>
        </is>
      </c>
      <c r="B54" s="6" t="inlineStr">
        <is>
          <t>训练服饰</t>
        </is>
      </c>
      <c r="C54" s="6" t="inlineStr">
        <is>
          <t>华南</t>
        </is>
      </c>
      <c r="D54" s="6" t="inlineStr">
        <is>
          <t>王芳</t>
        </is>
      </c>
      <c r="E54" s="6" t="inlineStr">
        <is>
          <t>优加体能中心</t>
        </is>
      </c>
      <c r="F54" s="7" t="n">
        <v>39100</v>
      </c>
      <c r="G54" s="7" t="n">
        <v>21900</v>
      </c>
      <c r="H54" s="7" t="n">
        <v>17200</v>
      </c>
      <c r="I54" s="8" t="n">
        <v>0.4398976982097187</v>
      </c>
    </row>
    <row r="55">
      <c r="A55" s="6" t="inlineStr">
        <is>
          <t>2025-01</t>
        </is>
      </c>
      <c r="B55" s="6" t="inlineStr">
        <is>
          <t>训练服饰</t>
        </is>
      </c>
      <c r="C55" s="6" t="inlineStr">
        <is>
          <t>华南</t>
        </is>
      </c>
      <c r="D55" s="6" t="inlineStr">
        <is>
          <t>刘强</t>
        </is>
      </c>
      <c r="E55" s="6" t="inlineStr">
        <is>
          <t>活力无限健身</t>
        </is>
      </c>
      <c r="F55" s="7" t="n">
        <v>31600</v>
      </c>
      <c r="G55" s="7" t="n">
        <v>17100</v>
      </c>
      <c r="H55" s="7" t="n">
        <v>14500</v>
      </c>
      <c r="I55" s="8" t="n">
        <v>0.4588607594936709</v>
      </c>
    </row>
    <row r="56">
      <c r="A56" s="6" t="inlineStr">
        <is>
          <t>2025-01</t>
        </is>
      </c>
      <c r="B56" s="6" t="inlineStr">
        <is>
          <t>训练服饰</t>
        </is>
      </c>
      <c r="C56" s="6" t="inlineStr">
        <is>
          <t>华南</t>
        </is>
      </c>
      <c r="D56" s="6" t="inlineStr">
        <is>
          <t>陈静</t>
        </is>
      </c>
      <c r="E56" s="6" t="inlineStr">
        <is>
          <t>风云篮球馆</t>
        </is>
      </c>
      <c r="F56" s="7" t="n">
        <v>36600</v>
      </c>
      <c r="G56" s="7" t="n">
        <v>19300</v>
      </c>
      <c r="H56" s="7" t="n">
        <v>17300</v>
      </c>
      <c r="I56" s="8" t="n">
        <v>0.4726775956284153</v>
      </c>
    </row>
    <row r="57">
      <c r="A57" s="6" t="inlineStr">
        <is>
          <t>2025-01</t>
        </is>
      </c>
      <c r="B57" s="6" t="inlineStr">
        <is>
          <t>训练服饰</t>
        </is>
      </c>
      <c r="C57" s="6" t="inlineStr">
        <is>
          <t>西部</t>
        </is>
      </c>
      <c r="D57" s="6" t="inlineStr">
        <is>
          <t>张伟</t>
        </is>
      </c>
      <c r="E57" s="6" t="inlineStr">
        <is>
          <t>阳光体能</t>
        </is>
      </c>
      <c r="F57" s="7" t="n">
        <v>24300</v>
      </c>
      <c r="G57" s="7" t="n">
        <v>13800</v>
      </c>
      <c r="H57" s="7" t="n">
        <v>10500</v>
      </c>
      <c r="I57" s="8" t="n">
        <v>0.4320987654320987</v>
      </c>
    </row>
    <row r="58">
      <c r="A58" s="6" t="inlineStr">
        <is>
          <t>2025-01</t>
        </is>
      </c>
      <c r="B58" s="6" t="inlineStr">
        <is>
          <t>训练服饰</t>
        </is>
      </c>
      <c r="C58" s="6" t="inlineStr">
        <is>
          <t>西部</t>
        </is>
      </c>
      <c r="D58" s="6" t="inlineStr">
        <is>
          <t>李娜</t>
        </is>
      </c>
      <c r="E58" s="6" t="inlineStr">
        <is>
          <t>天天向上健身</t>
        </is>
      </c>
      <c r="F58" s="7" t="n">
        <v>24900</v>
      </c>
      <c r="G58" s="7" t="n">
        <v>13600</v>
      </c>
      <c r="H58" s="7" t="n">
        <v>11300</v>
      </c>
      <c r="I58" s="8" t="n">
        <v>0.4538152610441767</v>
      </c>
    </row>
    <row r="59">
      <c r="A59" s="6" t="inlineStr">
        <is>
          <t>2025-01</t>
        </is>
      </c>
      <c r="B59" s="6" t="inlineStr">
        <is>
          <t>训练服饰</t>
        </is>
      </c>
      <c r="C59" s="6" t="inlineStr">
        <is>
          <t>西部</t>
        </is>
      </c>
      <c r="D59" s="6" t="inlineStr">
        <is>
          <t>王芳</t>
        </is>
      </c>
      <c r="E59" s="6" t="inlineStr">
        <is>
          <t>风云篮球馆</t>
        </is>
      </c>
      <c r="F59" s="7" t="n">
        <v>20500</v>
      </c>
      <c r="G59" s="7" t="n">
        <v>11000</v>
      </c>
      <c r="H59" s="7" t="n">
        <v>9500</v>
      </c>
      <c r="I59" s="8" t="n">
        <v>0.4634146341463415</v>
      </c>
    </row>
    <row r="60">
      <c r="A60" s="6" t="inlineStr">
        <is>
          <t>2025-01</t>
        </is>
      </c>
      <c r="B60" s="6" t="inlineStr">
        <is>
          <t>训练服饰</t>
        </is>
      </c>
      <c r="C60" s="6" t="inlineStr">
        <is>
          <t>西部</t>
        </is>
      </c>
      <c r="D60" s="6" t="inlineStr">
        <is>
          <t>刘强</t>
        </is>
      </c>
      <c r="E60" s="6" t="inlineStr">
        <is>
          <t>元气营养</t>
        </is>
      </c>
      <c r="F60" s="7" t="n">
        <v>23200</v>
      </c>
      <c r="G60" s="7" t="n">
        <v>12600</v>
      </c>
      <c r="H60" s="7" t="n">
        <v>10600</v>
      </c>
      <c r="I60" s="8" t="n">
        <v>0.456896551724138</v>
      </c>
    </row>
    <row r="61">
      <c r="A61" s="6" t="inlineStr">
        <is>
          <t>2025-01</t>
        </is>
      </c>
      <c r="B61" s="6" t="inlineStr">
        <is>
          <t>训练服饰</t>
        </is>
      </c>
      <c r="C61" s="6" t="inlineStr">
        <is>
          <t>西部</t>
        </is>
      </c>
      <c r="D61" s="6" t="inlineStr">
        <is>
          <t>陈静</t>
        </is>
      </c>
      <c r="E61" s="6" t="inlineStr">
        <is>
          <t>篮途体育文化</t>
        </is>
      </c>
      <c r="F61" s="7" t="n">
        <v>21600</v>
      </c>
      <c r="G61" s="7" t="n">
        <v>11300</v>
      </c>
      <c r="H61" s="7" t="n">
        <v>10300</v>
      </c>
      <c r="I61" s="8" t="n">
        <v>0.4768518518518519</v>
      </c>
    </row>
    <row r="62">
      <c r="A62" s="6" t="inlineStr">
        <is>
          <t>2025-01</t>
        </is>
      </c>
      <c r="B62" s="6" t="inlineStr">
        <is>
          <t>营养补给</t>
        </is>
      </c>
      <c r="C62" s="6" t="inlineStr">
        <is>
          <t>华东</t>
        </is>
      </c>
      <c r="D62" s="6" t="inlineStr">
        <is>
          <t>张伟</t>
        </is>
      </c>
      <c r="E62" s="6" t="inlineStr">
        <is>
          <t>康威运动商城</t>
        </is>
      </c>
      <c r="F62" s="7" t="n">
        <v>48300</v>
      </c>
      <c r="G62" s="7" t="n">
        <v>35600</v>
      </c>
      <c r="H62" s="7" t="n">
        <v>12700</v>
      </c>
      <c r="I62" s="8" t="n">
        <v>0.2629399585921325</v>
      </c>
    </row>
    <row r="63">
      <c r="A63" s="6" t="inlineStr">
        <is>
          <t>2025-01</t>
        </is>
      </c>
      <c r="B63" s="6" t="inlineStr">
        <is>
          <t>营养补给</t>
        </is>
      </c>
      <c r="C63" s="6" t="inlineStr">
        <is>
          <t>华东</t>
        </is>
      </c>
      <c r="D63" s="6" t="inlineStr">
        <is>
          <t>李娜</t>
        </is>
      </c>
      <c r="E63" s="6" t="inlineStr">
        <is>
          <t>跃动少儿运动馆</t>
        </is>
      </c>
      <c r="F63" s="7" t="n">
        <v>58500</v>
      </c>
      <c r="G63" s="7" t="n">
        <v>44800</v>
      </c>
      <c r="H63" s="7" t="n">
        <v>13700</v>
      </c>
      <c r="I63" s="8" t="n">
        <v>0.2341880341880342</v>
      </c>
    </row>
    <row r="64">
      <c r="A64" s="6" t="inlineStr">
        <is>
          <t>2025-01</t>
        </is>
      </c>
      <c r="B64" s="6" t="inlineStr">
        <is>
          <t>营养补给</t>
        </is>
      </c>
      <c r="C64" s="6" t="inlineStr">
        <is>
          <t>华东</t>
        </is>
      </c>
      <c r="D64" s="6" t="inlineStr">
        <is>
          <t>王芳</t>
        </is>
      </c>
      <c r="E64" s="6" t="inlineStr">
        <is>
          <t>迈步体育</t>
        </is>
      </c>
      <c r="F64" s="7" t="n">
        <v>63100</v>
      </c>
      <c r="G64" s="7" t="n">
        <v>49100</v>
      </c>
      <c r="H64" s="7" t="n">
        <v>14000</v>
      </c>
      <c r="I64" s="8" t="n">
        <v>0.2218700475435816</v>
      </c>
    </row>
    <row r="65">
      <c r="A65" s="6" t="inlineStr">
        <is>
          <t>2025-01</t>
        </is>
      </c>
      <c r="B65" s="6" t="inlineStr">
        <is>
          <t>营养补给</t>
        </is>
      </c>
      <c r="C65" s="6" t="inlineStr">
        <is>
          <t>华东</t>
        </is>
      </c>
      <c r="D65" s="6" t="inlineStr">
        <is>
          <t>刘强</t>
        </is>
      </c>
      <c r="E65" s="6" t="inlineStr">
        <is>
          <t>纵横运动</t>
        </is>
      </c>
      <c r="F65" s="7" t="n">
        <v>42700</v>
      </c>
      <c r="G65" s="7" t="n">
        <v>32600</v>
      </c>
      <c r="H65" s="7" t="n">
        <v>10100</v>
      </c>
      <c r="I65" s="8" t="n">
        <v>0.2365339578454333</v>
      </c>
    </row>
    <row r="66">
      <c r="A66" s="6" t="inlineStr">
        <is>
          <t>2025-01</t>
        </is>
      </c>
      <c r="B66" s="6" t="inlineStr">
        <is>
          <t>营养补给</t>
        </is>
      </c>
      <c r="C66" s="6" t="inlineStr">
        <is>
          <t>华东</t>
        </is>
      </c>
      <c r="D66" s="6" t="inlineStr">
        <is>
          <t>陈静</t>
        </is>
      </c>
      <c r="E66" s="6" t="inlineStr">
        <is>
          <t>星跃体育</t>
        </is>
      </c>
      <c r="F66" s="7" t="n">
        <v>54700</v>
      </c>
      <c r="G66" s="7" t="n">
        <v>40400</v>
      </c>
      <c r="H66" s="7" t="n">
        <v>14300</v>
      </c>
      <c r="I66" s="8" t="n">
        <v>0.2614259597806216</v>
      </c>
    </row>
    <row r="67">
      <c r="A67" s="6" t="inlineStr">
        <is>
          <t>2025-01</t>
        </is>
      </c>
      <c r="B67" s="6" t="inlineStr">
        <is>
          <t>营养补给</t>
        </is>
      </c>
      <c r="C67" s="6" t="inlineStr">
        <is>
          <t>华北</t>
        </is>
      </c>
      <c r="D67" s="6" t="inlineStr">
        <is>
          <t>张伟</t>
        </is>
      </c>
      <c r="E67" s="6" t="inlineStr">
        <is>
          <t>卓越体能训练营</t>
        </is>
      </c>
      <c r="F67" s="7" t="n">
        <v>46100</v>
      </c>
      <c r="G67" s="7" t="n">
        <v>33300</v>
      </c>
      <c r="H67" s="7" t="n">
        <v>12800</v>
      </c>
      <c r="I67" s="8" t="n">
        <v>0.2776572668112798</v>
      </c>
    </row>
    <row r="68">
      <c r="A68" s="6" t="inlineStr">
        <is>
          <t>2025-01</t>
        </is>
      </c>
      <c r="B68" s="6" t="inlineStr">
        <is>
          <t>营养补给</t>
        </is>
      </c>
      <c r="C68" s="6" t="inlineStr">
        <is>
          <t>华北</t>
        </is>
      </c>
      <c r="D68" s="6" t="inlineStr">
        <is>
          <t>李娜</t>
        </is>
      </c>
      <c r="E68" s="6" t="inlineStr">
        <is>
          <t>篮途体育文化</t>
        </is>
      </c>
      <c r="F68" s="7" t="n">
        <v>45800</v>
      </c>
      <c r="G68" s="7" t="n">
        <v>33300</v>
      </c>
      <c r="H68" s="7" t="n">
        <v>12500</v>
      </c>
      <c r="I68" s="8" t="n">
        <v>0.2729257641921398</v>
      </c>
    </row>
    <row r="69">
      <c r="A69" s="6" t="inlineStr">
        <is>
          <t>2025-01</t>
        </is>
      </c>
      <c r="B69" s="6" t="inlineStr">
        <is>
          <t>营养补给</t>
        </is>
      </c>
      <c r="C69" s="6" t="inlineStr">
        <is>
          <t>华北</t>
        </is>
      </c>
      <c r="D69" s="6" t="inlineStr">
        <is>
          <t>王芳</t>
        </is>
      </c>
      <c r="E69" s="6" t="inlineStr">
        <is>
          <t>启航健身中心</t>
        </is>
      </c>
      <c r="F69" s="7" t="n">
        <v>48700</v>
      </c>
      <c r="G69" s="7" t="n">
        <v>35100</v>
      </c>
      <c r="H69" s="7" t="n">
        <v>13600</v>
      </c>
      <c r="I69" s="8" t="n">
        <v>0.2792607802874743</v>
      </c>
    </row>
    <row r="70">
      <c r="A70" s="6" t="inlineStr">
        <is>
          <t>2025-01</t>
        </is>
      </c>
      <c r="B70" s="6" t="inlineStr">
        <is>
          <t>营养补给</t>
        </is>
      </c>
      <c r="C70" s="6" t="inlineStr">
        <is>
          <t>华北</t>
        </is>
      </c>
      <c r="D70" s="6" t="inlineStr">
        <is>
          <t>刘强</t>
        </is>
      </c>
      <c r="E70" s="6" t="inlineStr">
        <is>
          <t>雷霆篮球</t>
        </is>
      </c>
      <c r="F70" s="7" t="n">
        <v>42200</v>
      </c>
      <c r="G70" s="7" t="n">
        <v>31000</v>
      </c>
      <c r="H70" s="7" t="n">
        <v>11200</v>
      </c>
      <c r="I70" s="8" t="n">
        <v>0.2654028436018958</v>
      </c>
    </row>
    <row r="71">
      <c r="A71" s="6" t="inlineStr">
        <is>
          <t>2025-01</t>
        </is>
      </c>
      <c r="B71" s="6" t="inlineStr">
        <is>
          <t>营养补给</t>
        </is>
      </c>
      <c r="C71" s="6" t="inlineStr">
        <is>
          <t>华北</t>
        </is>
      </c>
      <c r="D71" s="6" t="inlineStr">
        <is>
          <t>陈静</t>
        </is>
      </c>
      <c r="E71" s="6" t="inlineStr">
        <is>
          <t>成长树运动馆</t>
        </is>
      </c>
      <c r="F71" s="7" t="n">
        <v>42400</v>
      </c>
      <c r="G71" s="7" t="n">
        <v>31300</v>
      </c>
      <c r="H71" s="7" t="n">
        <v>11100</v>
      </c>
      <c r="I71" s="8" t="n">
        <v>0.2617924528301887</v>
      </c>
    </row>
    <row r="72">
      <c r="A72" s="6" t="inlineStr">
        <is>
          <t>2025-01</t>
        </is>
      </c>
      <c r="B72" s="6" t="inlineStr">
        <is>
          <t>营养补给</t>
        </is>
      </c>
      <c r="C72" s="6" t="inlineStr">
        <is>
          <t>华南</t>
        </is>
      </c>
      <c r="D72" s="6" t="inlineStr">
        <is>
          <t>张伟</t>
        </is>
      </c>
      <c r="E72" s="6" t="inlineStr">
        <is>
          <t>阳光体能</t>
        </is>
      </c>
      <c r="F72" s="7" t="n">
        <v>45500</v>
      </c>
      <c r="G72" s="7" t="n">
        <v>34300</v>
      </c>
      <c r="H72" s="7" t="n">
        <v>11200</v>
      </c>
      <c r="I72" s="8" t="n">
        <v>0.2461538461538462</v>
      </c>
    </row>
    <row r="73">
      <c r="A73" s="6" t="inlineStr">
        <is>
          <t>2025-01</t>
        </is>
      </c>
      <c r="B73" s="6" t="inlineStr">
        <is>
          <t>营养补给</t>
        </is>
      </c>
      <c r="C73" s="6" t="inlineStr">
        <is>
          <t>华南</t>
        </is>
      </c>
      <c r="D73" s="6" t="inlineStr">
        <is>
          <t>李娜</t>
        </is>
      </c>
      <c r="E73" s="6" t="inlineStr">
        <is>
          <t>跃动少儿运动馆</t>
        </is>
      </c>
      <c r="F73" s="7" t="n">
        <v>50700</v>
      </c>
      <c r="G73" s="7" t="n">
        <v>39400</v>
      </c>
      <c r="H73" s="7" t="n">
        <v>11300</v>
      </c>
      <c r="I73" s="8" t="n">
        <v>0.222879684418146</v>
      </c>
    </row>
    <row r="74">
      <c r="A74" s="6" t="inlineStr">
        <is>
          <t>2025-01</t>
        </is>
      </c>
      <c r="B74" s="6" t="inlineStr">
        <is>
          <t>营养补给</t>
        </is>
      </c>
      <c r="C74" s="6" t="inlineStr">
        <is>
          <t>华南</t>
        </is>
      </c>
      <c r="D74" s="6" t="inlineStr">
        <is>
          <t>王芳</t>
        </is>
      </c>
      <c r="E74" s="6" t="inlineStr">
        <is>
          <t>雷霆篮球</t>
        </is>
      </c>
      <c r="F74" s="7" t="n">
        <v>48300</v>
      </c>
      <c r="G74" s="7" t="n">
        <v>36300</v>
      </c>
      <c r="H74" s="7" t="n">
        <v>12000</v>
      </c>
      <c r="I74" s="8" t="n">
        <v>0.2484472049689441</v>
      </c>
    </row>
    <row r="75">
      <c r="A75" s="6" t="inlineStr">
        <is>
          <t>2025-01</t>
        </is>
      </c>
      <c r="B75" s="6" t="inlineStr">
        <is>
          <t>营养补给</t>
        </is>
      </c>
      <c r="C75" s="6" t="inlineStr">
        <is>
          <t>华南</t>
        </is>
      </c>
      <c r="D75" s="6" t="inlineStr">
        <is>
          <t>刘强</t>
        </is>
      </c>
      <c r="E75" s="6" t="inlineStr">
        <is>
          <t>极客穿戴</t>
        </is>
      </c>
      <c r="F75" s="7" t="n">
        <v>35800</v>
      </c>
      <c r="G75" s="7" t="n">
        <v>26800</v>
      </c>
      <c r="H75" s="7" t="n">
        <v>9000</v>
      </c>
      <c r="I75" s="8" t="n">
        <v>0.2513966480446927</v>
      </c>
    </row>
    <row r="76">
      <c r="A76" s="6" t="inlineStr">
        <is>
          <t>2025-01</t>
        </is>
      </c>
      <c r="B76" s="6" t="inlineStr">
        <is>
          <t>营养补给</t>
        </is>
      </c>
      <c r="C76" s="6" t="inlineStr">
        <is>
          <t>华南</t>
        </is>
      </c>
      <c r="D76" s="6" t="inlineStr">
        <is>
          <t>陈静</t>
        </is>
      </c>
      <c r="E76" s="6" t="inlineStr">
        <is>
          <t>风尚健身</t>
        </is>
      </c>
      <c r="F76" s="7" t="n">
        <v>38800</v>
      </c>
      <c r="G76" s="7" t="n">
        <v>28000</v>
      </c>
      <c r="H76" s="7" t="n">
        <v>10800</v>
      </c>
      <c r="I76" s="8" t="n">
        <v>0.2783505154639175</v>
      </c>
    </row>
    <row r="77">
      <c r="A77" s="6" t="inlineStr">
        <is>
          <t>2025-01</t>
        </is>
      </c>
      <c r="B77" s="6" t="inlineStr">
        <is>
          <t>营养补给</t>
        </is>
      </c>
      <c r="C77" s="6" t="inlineStr">
        <is>
          <t>西部</t>
        </is>
      </c>
      <c r="D77" s="6" t="inlineStr">
        <is>
          <t>张伟</t>
        </is>
      </c>
      <c r="E77" s="6" t="inlineStr">
        <is>
          <t>天天向上健身</t>
        </is>
      </c>
      <c r="F77" s="7" t="n">
        <v>26100</v>
      </c>
      <c r="G77" s="7" t="n">
        <v>19300</v>
      </c>
      <c r="H77" s="7" t="n">
        <v>6800</v>
      </c>
      <c r="I77" s="8" t="n">
        <v>0.2605363984674329</v>
      </c>
    </row>
    <row r="78">
      <c r="A78" s="6" t="inlineStr">
        <is>
          <t>2025-01</t>
        </is>
      </c>
      <c r="B78" s="6" t="inlineStr">
        <is>
          <t>营养补给</t>
        </is>
      </c>
      <c r="C78" s="6" t="inlineStr">
        <is>
          <t>西部</t>
        </is>
      </c>
      <c r="D78" s="6" t="inlineStr">
        <is>
          <t>李娜</t>
        </is>
      </c>
      <c r="E78" s="6" t="inlineStr">
        <is>
          <t>童行运动馆</t>
        </is>
      </c>
      <c r="F78" s="7" t="n">
        <v>27700</v>
      </c>
      <c r="G78" s="7" t="n">
        <v>21500</v>
      </c>
      <c r="H78" s="7" t="n">
        <v>6200</v>
      </c>
      <c r="I78" s="8" t="n">
        <v>0.223826714801444</v>
      </c>
    </row>
    <row r="79">
      <c r="A79" s="6" t="inlineStr">
        <is>
          <t>2025-01</t>
        </is>
      </c>
      <c r="B79" s="6" t="inlineStr">
        <is>
          <t>营养补给</t>
        </is>
      </c>
      <c r="C79" s="6" t="inlineStr">
        <is>
          <t>西部</t>
        </is>
      </c>
      <c r="D79" s="6" t="inlineStr">
        <is>
          <t>王芳</t>
        </is>
      </c>
      <c r="E79" s="6" t="inlineStr">
        <is>
          <t>巅峰运动</t>
        </is>
      </c>
      <c r="F79" s="7" t="n">
        <v>26300</v>
      </c>
      <c r="G79" s="7" t="n">
        <v>19400</v>
      </c>
      <c r="H79" s="7" t="n">
        <v>6900</v>
      </c>
      <c r="I79" s="8" t="n">
        <v>0.2623574144486692</v>
      </c>
    </row>
    <row r="80">
      <c r="A80" s="6" t="inlineStr">
        <is>
          <t>2025-01</t>
        </is>
      </c>
      <c r="B80" s="6" t="inlineStr">
        <is>
          <t>营养补给</t>
        </is>
      </c>
      <c r="C80" s="6" t="inlineStr">
        <is>
          <t>西部</t>
        </is>
      </c>
      <c r="D80" s="6" t="inlineStr">
        <is>
          <t>刘强</t>
        </is>
      </c>
      <c r="E80" s="6" t="inlineStr">
        <is>
          <t>腾飞体育用品</t>
        </is>
      </c>
      <c r="F80" s="7" t="n">
        <v>28100</v>
      </c>
      <c r="G80" s="7" t="n">
        <v>20700</v>
      </c>
      <c r="H80" s="7" t="n">
        <v>7400</v>
      </c>
      <c r="I80" s="8" t="n">
        <v>0.2633451957295374</v>
      </c>
    </row>
    <row r="81">
      <c r="A81" s="6" t="inlineStr">
        <is>
          <t>2025-01</t>
        </is>
      </c>
      <c r="B81" s="6" t="inlineStr">
        <is>
          <t>营养补给</t>
        </is>
      </c>
      <c r="C81" s="6" t="inlineStr">
        <is>
          <t>西部</t>
        </is>
      </c>
      <c r="D81" s="6" t="inlineStr">
        <is>
          <t>陈静</t>
        </is>
      </c>
      <c r="E81" s="6" t="inlineStr">
        <is>
          <t>智练体育</t>
        </is>
      </c>
      <c r="F81" s="7" t="n">
        <v>25800</v>
      </c>
      <c r="G81" s="7" t="n">
        <v>19400</v>
      </c>
      <c r="H81" s="7" t="n">
        <v>6400</v>
      </c>
      <c r="I81" s="8" t="n">
        <v>0.248062015503876</v>
      </c>
    </row>
    <row r="82">
      <c r="A82" s="6" t="inlineStr">
        <is>
          <t>2025-01</t>
        </is>
      </c>
      <c r="B82" s="6" t="inlineStr">
        <is>
          <t>智能穿戴</t>
        </is>
      </c>
      <c r="C82" s="6" t="inlineStr">
        <is>
          <t>华东</t>
        </is>
      </c>
      <c r="D82" s="6" t="inlineStr">
        <is>
          <t>张伟</t>
        </is>
      </c>
      <c r="E82" s="6" t="inlineStr">
        <is>
          <t>强体体育</t>
        </is>
      </c>
      <c r="F82" s="7" t="n">
        <v>64400</v>
      </c>
      <c r="G82" s="7" t="n">
        <v>39400</v>
      </c>
      <c r="H82" s="7" t="n">
        <v>25000</v>
      </c>
      <c r="I82" s="8" t="n">
        <v>0.3881987577639752</v>
      </c>
    </row>
    <row r="83">
      <c r="A83" s="6" t="inlineStr">
        <is>
          <t>2025-01</t>
        </is>
      </c>
      <c r="B83" s="6" t="inlineStr">
        <is>
          <t>智能穿戴</t>
        </is>
      </c>
      <c r="C83" s="6" t="inlineStr">
        <is>
          <t>华东</t>
        </is>
      </c>
      <c r="D83" s="6" t="inlineStr">
        <is>
          <t>李娜</t>
        </is>
      </c>
      <c r="E83" s="6" t="inlineStr">
        <is>
          <t>跃动少儿运动馆</t>
        </is>
      </c>
      <c r="F83" s="7" t="n">
        <v>85900</v>
      </c>
      <c r="G83" s="7" t="n">
        <v>51000</v>
      </c>
      <c r="H83" s="7" t="n">
        <v>34900</v>
      </c>
      <c r="I83" s="8" t="n">
        <v>0.4062863795110594</v>
      </c>
    </row>
    <row r="84">
      <c r="A84" s="6" t="inlineStr">
        <is>
          <t>2025-01</t>
        </is>
      </c>
      <c r="B84" s="6" t="inlineStr">
        <is>
          <t>智能穿戴</t>
        </is>
      </c>
      <c r="C84" s="6" t="inlineStr">
        <is>
          <t>华东</t>
        </is>
      </c>
      <c r="D84" s="6" t="inlineStr">
        <is>
          <t>王芳</t>
        </is>
      </c>
      <c r="E84" s="6" t="inlineStr">
        <is>
          <t>优加体能中心</t>
        </is>
      </c>
      <c r="F84" s="7" t="n">
        <v>78900</v>
      </c>
      <c r="G84" s="7" t="n">
        <v>47300</v>
      </c>
      <c r="H84" s="7" t="n">
        <v>31600</v>
      </c>
      <c r="I84" s="8" t="n">
        <v>0.4005069708491762</v>
      </c>
    </row>
    <row r="85">
      <c r="A85" s="6" t="inlineStr">
        <is>
          <t>2025-01</t>
        </is>
      </c>
      <c r="B85" s="6" t="inlineStr">
        <is>
          <t>智能穿戴</t>
        </is>
      </c>
      <c r="C85" s="6" t="inlineStr">
        <is>
          <t>华东</t>
        </is>
      </c>
      <c r="D85" s="6" t="inlineStr">
        <is>
          <t>刘强</t>
        </is>
      </c>
      <c r="E85" s="6" t="inlineStr">
        <is>
          <t>元气营养</t>
        </is>
      </c>
      <c r="F85" s="7" t="n">
        <v>61600</v>
      </c>
      <c r="G85" s="7" t="n">
        <v>38200</v>
      </c>
      <c r="H85" s="7" t="n">
        <v>23400</v>
      </c>
      <c r="I85" s="8" t="n">
        <v>0.3798701298701299</v>
      </c>
    </row>
    <row r="86">
      <c r="A86" s="6" t="inlineStr">
        <is>
          <t>2025-01</t>
        </is>
      </c>
      <c r="B86" s="6" t="inlineStr">
        <is>
          <t>智能穿戴</t>
        </is>
      </c>
      <c r="C86" s="6" t="inlineStr">
        <is>
          <t>华东</t>
        </is>
      </c>
      <c r="D86" s="6" t="inlineStr">
        <is>
          <t>陈静</t>
        </is>
      </c>
      <c r="E86" s="6" t="inlineStr">
        <is>
          <t>康威运动商城</t>
        </is>
      </c>
      <c r="F86" s="7" t="n">
        <v>74900</v>
      </c>
      <c r="G86" s="7" t="n">
        <v>46700</v>
      </c>
      <c r="H86" s="7" t="n">
        <v>28200</v>
      </c>
      <c r="I86" s="8" t="n">
        <v>0.376502002670227</v>
      </c>
    </row>
    <row r="87">
      <c r="A87" s="6" t="inlineStr">
        <is>
          <t>2025-01</t>
        </is>
      </c>
      <c r="B87" s="6" t="inlineStr">
        <is>
          <t>智能穿戴</t>
        </is>
      </c>
      <c r="C87" s="6" t="inlineStr">
        <is>
          <t>华北</t>
        </is>
      </c>
      <c r="D87" s="6" t="inlineStr">
        <is>
          <t>张伟</t>
        </is>
      </c>
      <c r="E87" s="6" t="inlineStr">
        <is>
          <t>领跑体育</t>
        </is>
      </c>
      <c r="F87" s="7" t="n">
        <v>64300</v>
      </c>
      <c r="G87" s="7" t="n">
        <v>41300</v>
      </c>
      <c r="H87" s="7" t="n">
        <v>23000</v>
      </c>
      <c r="I87" s="8" t="n">
        <v>0.3576982892690513</v>
      </c>
    </row>
    <row r="88">
      <c r="A88" s="6" t="inlineStr">
        <is>
          <t>2025-01</t>
        </is>
      </c>
      <c r="B88" s="6" t="inlineStr">
        <is>
          <t>智能穿戴</t>
        </is>
      </c>
      <c r="C88" s="6" t="inlineStr">
        <is>
          <t>华北</t>
        </is>
      </c>
      <c r="D88" s="6" t="inlineStr">
        <is>
          <t>李娜</t>
        </is>
      </c>
      <c r="E88" s="6" t="inlineStr">
        <is>
          <t>茁长少儿体适能</t>
        </is>
      </c>
      <c r="F88" s="7" t="n">
        <v>57900</v>
      </c>
      <c r="G88" s="7" t="n">
        <v>34200</v>
      </c>
      <c r="H88" s="7" t="n">
        <v>23700</v>
      </c>
      <c r="I88" s="8" t="n">
        <v>0.4093264248704663</v>
      </c>
    </row>
    <row r="89">
      <c r="A89" s="6" t="inlineStr">
        <is>
          <t>2025-01</t>
        </is>
      </c>
      <c r="B89" s="6" t="inlineStr">
        <is>
          <t>智能穿戴</t>
        </is>
      </c>
      <c r="C89" s="6" t="inlineStr">
        <is>
          <t>华北</t>
        </is>
      </c>
      <c r="D89" s="6" t="inlineStr">
        <is>
          <t>王芳</t>
        </is>
      </c>
      <c r="E89" s="6" t="inlineStr">
        <is>
          <t>卓越体能训练营</t>
        </is>
      </c>
      <c r="F89" s="7" t="n">
        <v>65100</v>
      </c>
      <c r="G89" s="7" t="n">
        <v>38700</v>
      </c>
      <c r="H89" s="7" t="n">
        <v>26400</v>
      </c>
      <c r="I89" s="8" t="n">
        <v>0.4055299539170507</v>
      </c>
    </row>
    <row r="90">
      <c r="A90" s="6" t="inlineStr">
        <is>
          <t>2025-01</t>
        </is>
      </c>
      <c r="B90" s="6" t="inlineStr">
        <is>
          <t>智能穿戴</t>
        </is>
      </c>
      <c r="C90" s="6" t="inlineStr">
        <is>
          <t>华北</t>
        </is>
      </c>
      <c r="D90" s="6" t="inlineStr">
        <is>
          <t>刘强</t>
        </is>
      </c>
      <c r="E90" s="6" t="inlineStr">
        <is>
          <t>小小运动家</t>
        </is>
      </c>
      <c r="F90" s="7" t="n">
        <v>52800</v>
      </c>
      <c r="G90" s="7" t="n">
        <v>33300</v>
      </c>
      <c r="H90" s="7" t="n">
        <v>19500</v>
      </c>
      <c r="I90" s="8" t="n">
        <v>0.3693181818181818</v>
      </c>
    </row>
    <row r="91">
      <c r="A91" s="6" t="inlineStr">
        <is>
          <t>2025-01</t>
        </is>
      </c>
      <c r="B91" s="6" t="inlineStr">
        <is>
          <t>智能穿戴</t>
        </is>
      </c>
      <c r="C91" s="6" t="inlineStr">
        <is>
          <t>华北</t>
        </is>
      </c>
      <c r="D91" s="6" t="inlineStr">
        <is>
          <t>陈静</t>
        </is>
      </c>
      <c r="E91" s="6" t="inlineStr">
        <is>
          <t>篮途体育文化</t>
        </is>
      </c>
      <c r="F91" s="7" t="n">
        <v>51200</v>
      </c>
      <c r="G91" s="7" t="n">
        <v>32500</v>
      </c>
      <c r="H91" s="7" t="n">
        <v>18700</v>
      </c>
      <c r="I91" s="8" t="n">
        <v>0.365234375</v>
      </c>
    </row>
    <row r="92">
      <c r="A92" s="6" t="inlineStr">
        <is>
          <t>2025-01</t>
        </is>
      </c>
      <c r="B92" s="6" t="inlineStr">
        <is>
          <t>智能穿戴</t>
        </is>
      </c>
      <c r="C92" s="6" t="inlineStr">
        <is>
          <t>华南</t>
        </is>
      </c>
      <c r="D92" s="6" t="inlineStr">
        <is>
          <t>张伟</t>
        </is>
      </c>
      <c r="E92" s="6" t="inlineStr">
        <is>
          <t>阳光体能</t>
        </is>
      </c>
      <c r="F92" s="7" t="n">
        <v>68600</v>
      </c>
      <c r="G92" s="7" t="n">
        <v>42300</v>
      </c>
      <c r="H92" s="7" t="n">
        <v>26300</v>
      </c>
      <c r="I92" s="8" t="n">
        <v>0.3833819241982507</v>
      </c>
    </row>
    <row r="93">
      <c r="A93" s="6" t="inlineStr">
        <is>
          <t>2025-01</t>
        </is>
      </c>
      <c r="B93" s="6" t="inlineStr">
        <is>
          <t>智能穿戴</t>
        </is>
      </c>
      <c r="C93" s="6" t="inlineStr">
        <is>
          <t>华南</t>
        </is>
      </c>
      <c r="D93" s="6" t="inlineStr">
        <is>
          <t>李娜</t>
        </is>
      </c>
      <c r="E93" s="6" t="inlineStr">
        <is>
          <t>纵横运动</t>
        </is>
      </c>
      <c r="F93" s="7" t="n">
        <v>61300</v>
      </c>
      <c r="G93" s="7" t="n">
        <v>39400</v>
      </c>
      <c r="H93" s="7" t="n">
        <v>21900</v>
      </c>
      <c r="I93" s="8" t="n">
        <v>0.3572593800978793</v>
      </c>
    </row>
    <row r="94">
      <c r="A94" s="6" t="inlineStr">
        <is>
          <t>2025-01</t>
        </is>
      </c>
      <c r="B94" s="6" t="inlineStr">
        <is>
          <t>智能穿戴</t>
        </is>
      </c>
      <c r="C94" s="6" t="inlineStr">
        <is>
          <t>华南</t>
        </is>
      </c>
      <c r="D94" s="6" t="inlineStr">
        <is>
          <t>王芳</t>
        </is>
      </c>
      <c r="E94" s="6" t="inlineStr">
        <is>
          <t>康威运动商城</t>
        </is>
      </c>
      <c r="F94" s="7" t="n">
        <v>67000</v>
      </c>
      <c r="G94" s="7" t="n">
        <v>43500</v>
      </c>
      <c r="H94" s="7" t="n">
        <v>23500</v>
      </c>
      <c r="I94" s="8" t="n">
        <v>0.3507462686567164</v>
      </c>
    </row>
    <row r="95">
      <c r="A95" s="6" t="inlineStr">
        <is>
          <t>2025-01</t>
        </is>
      </c>
      <c r="B95" s="6" t="inlineStr">
        <is>
          <t>智能穿戴</t>
        </is>
      </c>
      <c r="C95" s="6" t="inlineStr">
        <is>
          <t>华南</t>
        </is>
      </c>
      <c r="D95" s="6" t="inlineStr">
        <is>
          <t>刘强</t>
        </is>
      </c>
      <c r="E95" s="6" t="inlineStr">
        <is>
          <t>悍将运动</t>
        </is>
      </c>
      <c r="F95" s="7" t="n">
        <v>66700</v>
      </c>
      <c r="G95" s="7" t="n">
        <v>43200</v>
      </c>
      <c r="H95" s="7" t="n">
        <v>23500</v>
      </c>
      <c r="I95" s="8" t="n">
        <v>0.3523238380809595</v>
      </c>
    </row>
    <row r="96">
      <c r="A96" s="6" t="inlineStr">
        <is>
          <t>2025-01</t>
        </is>
      </c>
      <c r="B96" s="6" t="inlineStr">
        <is>
          <t>智能穿戴</t>
        </is>
      </c>
      <c r="C96" s="6" t="inlineStr">
        <is>
          <t>华南</t>
        </is>
      </c>
      <c r="D96" s="6" t="inlineStr">
        <is>
          <t>陈静</t>
        </is>
      </c>
      <c r="E96" s="6" t="inlineStr">
        <is>
          <t>小飞侠运动俱乐部</t>
        </is>
      </c>
      <c r="F96" s="7" t="n">
        <v>55300</v>
      </c>
      <c r="G96" s="7" t="n">
        <v>35300</v>
      </c>
      <c r="H96" s="7" t="n">
        <v>20000</v>
      </c>
      <c r="I96" s="8" t="n">
        <v>0.3616636528028933</v>
      </c>
    </row>
    <row r="97">
      <c r="A97" s="6" t="inlineStr">
        <is>
          <t>2025-01</t>
        </is>
      </c>
      <c r="B97" s="6" t="inlineStr">
        <is>
          <t>智能穿戴</t>
        </is>
      </c>
      <c r="C97" s="6" t="inlineStr">
        <is>
          <t>西部</t>
        </is>
      </c>
      <c r="D97" s="6" t="inlineStr">
        <is>
          <t>张伟</t>
        </is>
      </c>
      <c r="E97" s="6" t="inlineStr">
        <is>
          <t>纵横运动</t>
        </is>
      </c>
      <c r="F97" s="7" t="n">
        <v>45400</v>
      </c>
      <c r="G97" s="7" t="n">
        <v>29200</v>
      </c>
      <c r="H97" s="7" t="n">
        <v>16200</v>
      </c>
      <c r="I97" s="8" t="n">
        <v>0.3568281938325991</v>
      </c>
    </row>
    <row r="98">
      <c r="A98" s="6" t="inlineStr">
        <is>
          <t>2025-01</t>
        </is>
      </c>
      <c r="B98" s="6" t="inlineStr">
        <is>
          <t>智能穿戴</t>
        </is>
      </c>
      <c r="C98" s="6" t="inlineStr">
        <is>
          <t>西部</t>
        </is>
      </c>
      <c r="D98" s="6" t="inlineStr">
        <is>
          <t>李娜</t>
        </is>
      </c>
      <c r="E98" s="6" t="inlineStr">
        <is>
          <t>风云篮球馆</t>
        </is>
      </c>
      <c r="F98" s="7" t="n">
        <v>43500</v>
      </c>
      <c r="G98" s="7" t="n">
        <v>27700</v>
      </c>
      <c r="H98" s="7" t="n">
        <v>15800</v>
      </c>
      <c r="I98" s="8" t="n">
        <v>0.3632183908045977</v>
      </c>
    </row>
    <row r="99">
      <c r="A99" s="6" t="inlineStr">
        <is>
          <t>2025-01</t>
        </is>
      </c>
      <c r="B99" s="6" t="inlineStr">
        <is>
          <t>智能穿戴</t>
        </is>
      </c>
      <c r="C99" s="6" t="inlineStr">
        <is>
          <t>西部</t>
        </is>
      </c>
      <c r="D99" s="6" t="inlineStr">
        <is>
          <t>王芳</t>
        </is>
      </c>
      <c r="E99" s="6" t="inlineStr">
        <is>
          <t>恒康营养</t>
        </is>
      </c>
      <c r="F99" s="7" t="n">
        <v>40200</v>
      </c>
      <c r="G99" s="7" t="n">
        <v>23800</v>
      </c>
      <c r="H99" s="7" t="n">
        <v>16400</v>
      </c>
      <c r="I99" s="8" t="n">
        <v>0.4079601990049751</v>
      </c>
    </row>
    <row r="100">
      <c r="A100" s="6" t="inlineStr">
        <is>
          <t>2025-01</t>
        </is>
      </c>
      <c r="B100" s="6" t="inlineStr">
        <is>
          <t>智能穿戴</t>
        </is>
      </c>
      <c r="C100" s="6" t="inlineStr">
        <is>
          <t>西部</t>
        </is>
      </c>
      <c r="D100" s="6" t="inlineStr">
        <is>
          <t>刘强</t>
        </is>
      </c>
      <c r="E100" s="6" t="inlineStr">
        <is>
          <t>星跃体育</t>
        </is>
      </c>
      <c r="F100" s="7" t="n">
        <v>39100</v>
      </c>
      <c r="G100" s="7" t="n">
        <v>24500</v>
      </c>
      <c r="H100" s="7" t="n">
        <v>14600</v>
      </c>
      <c r="I100" s="8" t="n">
        <v>0.3734015345268542</v>
      </c>
    </row>
    <row r="101">
      <c r="A101" s="6" t="inlineStr">
        <is>
          <t>2025-01</t>
        </is>
      </c>
      <c r="B101" s="6" t="inlineStr">
        <is>
          <t>智能穿戴</t>
        </is>
      </c>
      <c r="C101" s="6" t="inlineStr">
        <is>
          <t>西部</t>
        </is>
      </c>
      <c r="D101" s="6" t="inlineStr">
        <is>
          <t>陈静</t>
        </is>
      </c>
      <c r="E101" s="6" t="inlineStr">
        <is>
          <t>篮途体育文化</t>
        </is>
      </c>
      <c r="F101" s="7" t="n">
        <v>37900</v>
      </c>
      <c r="G101" s="7" t="n">
        <v>22500</v>
      </c>
      <c r="H101" s="7" t="n">
        <v>15400</v>
      </c>
      <c r="I101" s="8" t="n">
        <v>0.4063324538258575</v>
      </c>
    </row>
    <row r="102">
      <c r="A102" s="6" t="inlineStr">
        <is>
          <t>2025-02</t>
        </is>
      </c>
      <c r="B102" s="6" t="inlineStr">
        <is>
          <t>篮球装备</t>
        </is>
      </c>
      <c r="C102" s="6" t="inlineStr">
        <is>
          <t>华东</t>
        </is>
      </c>
      <c r="D102" s="6" t="inlineStr">
        <is>
          <t>张伟</t>
        </is>
      </c>
      <c r="E102" s="6" t="inlineStr">
        <is>
          <t>启航健身中心</t>
        </is>
      </c>
      <c r="F102" s="7" t="n">
        <v>91800</v>
      </c>
      <c r="G102" s="7" t="n">
        <v>59600</v>
      </c>
      <c r="H102" s="7" t="n">
        <v>32200</v>
      </c>
      <c r="I102" s="8" t="n">
        <v>0.3507625272331155</v>
      </c>
    </row>
    <row r="103">
      <c r="A103" s="6" t="inlineStr">
        <is>
          <t>2025-02</t>
        </is>
      </c>
      <c r="B103" s="6" t="inlineStr">
        <is>
          <t>篮球装备</t>
        </is>
      </c>
      <c r="C103" s="6" t="inlineStr">
        <is>
          <t>华东</t>
        </is>
      </c>
      <c r="D103" s="6" t="inlineStr">
        <is>
          <t>李娜</t>
        </is>
      </c>
      <c r="E103" s="6" t="inlineStr">
        <is>
          <t>智练体育</t>
        </is>
      </c>
      <c r="F103" s="7" t="n">
        <v>76400</v>
      </c>
      <c r="G103" s="7" t="n">
        <v>48100</v>
      </c>
      <c r="H103" s="7" t="n">
        <v>28300</v>
      </c>
      <c r="I103" s="8" t="n">
        <v>0.3704188481675393</v>
      </c>
    </row>
    <row r="104">
      <c r="A104" s="6" t="inlineStr">
        <is>
          <t>2025-02</t>
        </is>
      </c>
      <c r="B104" s="6" t="inlineStr">
        <is>
          <t>篮球装备</t>
        </is>
      </c>
      <c r="C104" s="6" t="inlineStr">
        <is>
          <t>华东</t>
        </is>
      </c>
      <c r="D104" s="6" t="inlineStr">
        <is>
          <t>王芳</t>
        </is>
      </c>
      <c r="E104" s="6" t="inlineStr">
        <is>
          <t>恒康营养</t>
        </is>
      </c>
      <c r="F104" s="7" t="n">
        <v>95500</v>
      </c>
      <c r="G104" s="7" t="n">
        <v>59300</v>
      </c>
      <c r="H104" s="7" t="n">
        <v>36200</v>
      </c>
      <c r="I104" s="8" t="n">
        <v>0.3790575916230366</v>
      </c>
    </row>
    <row r="105">
      <c r="A105" s="6" t="inlineStr">
        <is>
          <t>2025-02</t>
        </is>
      </c>
      <c r="B105" s="6" t="inlineStr">
        <is>
          <t>篮球装备</t>
        </is>
      </c>
      <c r="C105" s="6" t="inlineStr">
        <is>
          <t>华东</t>
        </is>
      </c>
      <c r="D105" s="6" t="inlineStr">
        <is>
          <t>刘强</t>
        </is>
      </c>
      <c r="E105" s="6" t="inlineStr">
        <is>
          <t>风尚健身</t>
        </is>
      </c>
      <c r="F105" s="7" t="n">
        <v>80900</v>
      </c>
      <c r="G105" s="7" t="n">
        <v>54800</v>
      </c>
      <c r="H105" s="7" t="n">
        <v>26100</v>
      </c>
      <c r="I105" s="8" t="n">
        <v>0.3226205191594561</v>
      </c>
    </row>
    <row r="106">
      <c r="A106" s="6" t="inlineStr">
        <is>
          <t>2025-02</t>
        </is>
      </c>
      <c r="B106" s="6" t="inlineStr">
        <is>
          <t>篮球装备</t>
        </is>
      </c>
      <c r="C106" s="6" t="inlineStr">
        <is>
          <t>华东</t>
        </is>
      </c>
      <c r="D106" s="6" t="inlineStr">
        <is>
          <t>陈静</t>
        </is>
      </c>
      <c r="E106" s="6" t="inlineStr">
        <is>
          <t>巅峰运动</t>
        </is>
      </c>
      <c r="F106" s="7" t="n">
        <v>77700</v>
      </c>
      <c r="G106" s="7" t="n">
        <v>52800</v>
      </c>
      <c r="H106" s="7" t="n">
        <v>24900</v>
      </c>
      <c r="I106" s="8" t="n">
        <v>0.3204633204633205</v>
      </c>
    </row>
    <row r="107">
      <c r="A107" s="6" t="inlineStr">
        <is>
          <t>2025-02</t>
        </is>
      </c>
      <c r="B107" s="6" t="inlineStr">
        <is>
          <t>篮球装备</t>
        </is>
      </c>
      <c r="C107" s="6" t="inlineStr">
        <is>
          <t>华北</t>
        </is>
      </c>
      <c r="D107" s="6" t="inlineStr">
        <is>
          <t>张伟</t>
        </is>
      </c>
      <c r="E107" s="6" t="inlineStr">
        <is>
          <t>冠军之路俱乐部</t>
        </is>
      </c>
      <c r="F107" s="7" t="n">
        <v>62200</v>
      </c>
      <c r="G107" s="7" t="n">
        <v>39700</v>
      </c>
      <c r="H107" s="7" t="n">
        <v>22500</v>
      </c>
      <c r="I107" s="8" t="n">
        <v>0.3617363344051447</v>
      </c>
    </row>
    <row r="108">
      <c r="A108" s="6" t="inlineStr">
        <is>
          <t>2025-02</t>
        </is>
      </c>
      <c r="B108" s="6" t="inlineStr">
        <is>
          <t>篮球装备</t>
        </is>
      </c>
      <c r="C108" s="6" t="inlineStr">
        <is>
          <t>华北</t>
        </is>
      </c>
      <c r="D108" s="6" t="inlineStr">
        <is>
          <t>李娜</t>
        </is>
      </c>
      <c r="E108" s="6" t="inlineStr">
        <is>
          <t>风尚健身</t>
        </is>
      </c>
      <c r="F108" s="7" t="n">
        <v>62900</v>
      </c>
      <c r="G108" s="7" t="n">
        <v>41600</v>
      </c>
      <c r="H108" s="7" t="n">
        <v>21300</v>
      </c>
      <c r="I108" s="8" t="n">
        <v>0.3386327503974563</v>
      </c>
    </row>
    <row r="109">
      <c r="A109" s="6" t="inlineStr">
        <is>
          <t>2025-02</t>
        </is>
      </c>
      <c r="B109" s="6" t="inlineStr">
        <is>
          <t>篮球装备</t>
        </is>
      </c>
      <c r="C109" s="6" t="inlineStr">
        <is>
          <t>华北</t>
        </is>
      </c>
      <c r="D109" s="6" t="inlineStr">
        <is>
          <t>王芳</t>
        </is>
      </c>
      <c r="E109" s="6" t="inlineStr">
        <is>
          <t>冠军之路俱乐部</t>
        </is>
      </c>
      <c r="F109" s="7" t="n">
        <v>74900</v>
      </c>
      <c r="G109" s="7" t="n">
        <v>48100</v>
      </c>
      <c r="H109" s="7" t="n">
        <v>26800</v>
      </c>
      <c r="I109" s="8" t="n">
        <v>0.3578104138851803</v>
      </c>
    </row>
    <row r="110">
      <c r="A110" s="6" t="inlineStr">
        <is>
          <t>2025-02</t>
        </is>
      </c>
      <c r="B110" s="6" t="inlineStr">
        <is>
          <t>篮球装备</t>
        </is>
      </c>
      <c r="C110" s="6" t="inlineStr">
        <is>
          <t>华北</t>
        </is>
      </c>
      <c r="D110" s="6" t="inlineStr">
        <is>
          <t>刘强</t>
        </is>
      </c>
      <c r="E110" s="6" t="inlineStr">
        <is>
          <t>风尚健身</t>
        </is>
      </c>
      <c r="F110" s="7" t="n">
        <v>64500</v>
      </c>
      <c r="G110" s="7" t="n">
        <v>41200</v>
      </c>
      <c r="H110" s="7" t="n">
        <v>23300</v>
      </c>
      <c r="I110" s="8" t="n">
        <v>0.3612403100775194</v>
      </c>
    </row>
    <row r="111">
      <c r="A111" s="6" t="inlineStr">
        <is>
          <t>2025-02</t>
        </is>
      </c>
      <c r="B111" s="6" t="inlineStr">
        <is>
          <t>篮球装备</t>
        </is>
      </c>
      <c r="C111" s="6" t="inlineStr">
        <is>
          <t>华北</t>
        </is>
      </c>
      <c r="D111" s="6" t="inlineStr">
        <is>
          <t>陈静</t>
        </is>
      </c>
      <c r="E111" s="6" t="inlineStr">
        <is>
          <t>冠军之路俱乐部</t>
        </is>
      </c>
      <c r="F111" s="7" t="n">
        <v>61300</v>
      </c>
      <c r="G111" s="7" t="n">
        <v>39600</v>
      </c>
      <c r="H111" s="7" t="n">
        <v>21700</v>
      </c>
      <c r="I111" s="8" t="n">
        <v>0.3539967373572594</v>
      </c>
    </row>
    <row r="112">
      <c r="A112" s="6" t="inlineStr">
        <is>
          <t>2025-02</t>
        </is>
      </c>
      <c r="B112" s="6" t="inlineStr">
        <is>
          <t>篮球装备</t>
        </is>
      </c>
      <c r="C112" s="6" t="inlineStr">
        <is>
          <t>华南</t>
        </is>
      </c>
      <c r="D112" s="6" t="inlineStr">
        <is>
          <t>张伟</t>
        </is>
      </c>
      <c r="E112" s="6" t="inlineStr">
        <is>
          <t>智练体育</t>
        </is>
      </c>
      <c r="F112" s="7" t="n">
        <v>75500</v>
      </c>
      <c r="G112" s="7" t="n">
        <v>47500</v>
      </c>
      <c r="H112" s="7" t="n">
        <v>28000</v>
      </c>
      <c r="I112" s="8" t="n">
        <v>0.3708609271523179</v>
      </c>
    </row>
    <row r="113">
      <c r="A113" s="6" t="inlineStr">
        <is>
          <t>2025-02</t>
        </is>
      </c>
      <c r="B113" s="6" t="inlineStr">
        <is>
          <t>篮球装备</t>
        </is>
      </c>
      <c r="C113" s="6" t="inlineStr">
        <is>
          <t>华南</t>
        </is>
      </c>
      <c r="D113" s="6" t="inlineStr">
        <is>
          <t>李娜</t>
        </is>
      </c>
      <c r="E113" s="6" t="inlineStr">
        <is>
          <t>领跑体育</t>
        </is>
      </c>
      <c r="F113" s="7" t="n">
        <v>60800</v>
      </c>
      <c r="G113" s="7" t="n">
        <v>40500</v>
      </c>
      <c r="H113" s="7" t="n">
        <v>20300</v>
      </c>
      <c r="I113" s="8" t="n">
        <v>0.3338815789473684</v>
      </c>
    </row>
    <row r="114">
      <c r="A114" s="6" t="inlineStr">
        <is>
          <t>2025-02</t>
        </is>
      </c>
      <c r="B114" s="6" t="inlineStr">
        <is>
          <t>篮球装备</t>
        </is>
      </c>
      <c r="C114" s="6" t="inlineStr">
        <is>
          <t>华南</t>
        </is>
      </c>
      <c r="D114" s="6" t="inlineStr">
        <is>
          <t>王芳</t>
        </is>
      </c>
      <c r="E114" s="6" t="inlineStr">
        <is>
          <t>天天向上健身</t>
        </is>
      </c>
      <c r="F114" s="7" t="n">
        <v>62000</v>
      </c>
      <c r="G114" s="7" t="n">
        <v>39400</v>
      </c>
      <c r="H114" s="7" t="n">
        <v>22600</v>
      </c>
      <c r="I114" s="8" t="n">
        <v>0.3645161290322581</v>
      </c>
    </row>
    <row r="115">
      <c r="A115" s="6" t="inlineStr">
        <is>
          <t>2025-02</t>
        </is>
      </c>
      <c r="B115" s="6" t="inlineStr">
        <is>
          <t>篮球装备</t>
        </is>
      </c>
      <c r="C115" s="6" t="inlineStr">
        <is>
          <t>华南</t>
        </is>
      </c>
      <c r="D115" s="6" t="inlineStr">
        <is>
          <t>刘强</t>
        </is>
      </c>
      <c r="E115" s="6" t="inlineStr">
        <is>
          <t>小飞侠运动俱乐部</t>
        </is>
      </c>
      <c r="F115" s="7" t="n">
        <v>65800</v>
      </c>
      <c r="G115" s="7" t="n">
        <v>44300</v>
      </c>
      <c r="H115" s="7" t="n">
        <v>21500</v>
      </c>
      <c r="I115" s="8" t="n">
        <v>0.3267477203647416</v>
      </c>
    </row>
    <row r="116">
      <c r="A116" s="6" t="inlineStr">
        <is>
          <t>2025-02</t>
        </is>
      </c>
      <c r="B116" s="6" t="inlineStr">
        <is>
          <t>篮球装备</t>
        </is>
      </c>
      <c r="C116" s="6" t="inlineStr">
        <is>
          <t>华南</t>
        </is>
      </c>
      <c r="D116" s="6" t="inlineStr">
        <is>
          <t>陈静</t>
        </is>
      </c>
      <c r="E116" s="6" t="inlineStr">
        <is>
          <t>环宇体育</t>
        </is>
      </c>
      <c r="F116" s="7" t="n">
        <v>75800</v>
      </c>
      <c r="G116" s="7" t="n">
        <v>48700</v>
      </c>
      <c r="H116" s="7" t="n">
        <v>27100</v>
      </c>
      <c r="I116" s="8" t="n">
        <v>0.3575197889182058</v>
      </c>
    </row>
    <row r="117">
      <c r="A117" s="6" t="inlineStr">
        <is>
          <t>2025-02</t>
        </is>
      </c>
      <c r="B117" s="6" t="inlineStr">
        <is>
          <t>篮球装备</t>
        </is>
      </c>
      <c r="C117" s="6" t="inlineStr">
        <is>
          <t>西部</t>
        </is>
      </c>
      <c r="D117" s="6" t="inlineStr">
        <is>
          <t>张伟</t>
        </is>
      </c>
      <c r="E117" s="6" t="inlineStr">
        <is>
          <t>健将体育</t>
        </is>
      </c>
      <c r="F117" s="7" t="n">
        <v>48600</v>
      </c>
      <c r="G117" s="7" t="n">
        <v>31500</v>
      </c>
      <c r="H117" s="7" t="n">
        <v>17100</v>
      </c>
      <c r="I117" s="8" t="n">
        <v>0.3518518518518519</v>
      </c>
    </row>
    <row r="118">
      <c r="A118" s="6" t="inlineStr">
        <is>
          <t>2025-02</t>
        </is>
      </c>
      <c r="B118" s="6" t="inlineStr">
        <is>
          <t>篮球装备</t>
        </is>
      </c>
      <c r="C118" s="6" t="inlineStr">
        <is>
          <t>西部</t>
        </is>
      </c>
      <c r="D118" s="6" t="inlineStr">
        <is>
          <t>李娜</t>
        </is>
      </c>
      <c r="E118" s="6" t="inlineStr">
        <is>
          <t>成长树运动馆</t>
        </is>
      </c>
      <c r="F118" s="7" t="n">
        <v>40000</v>
      </c>
      <c r="G118" s="7" t="n">
        <v>25200</v>
      </c>
      <c r="H118" s="7" t="n">
        <v>14800</v>
      </c>
      <c r="I118" s="8" t="n">
        <v>0.37</v>
      </c>
    </row>
    <row r="119">
      <c r="A119" s="6" t="inlineStr">
        <is>
          <t>2025-02</t>
        </is>
      </c>
      <c r="B119" s="6" t="inlineStr">
        <is>
          <t>篮球装备</t>
        </is>
      </c>
      <c r="C119" s="6" t="inlineStr">
        <is>
          <t>西部</t>
        </is>
      </c>
      <c r="D119" s="6" t="inlineStr">
        <is>
          <t>王芳</t>
        </is>
      </c>
      <c r="E119" s="6" t="inlineStr">
        <is>
          <t>小小运动家</t>
        </is>
      </c>
      <c r="F119" s="7" t="n">
        <v>51600</v>
      </c>
      <c r="G119" s="7" t="n">
        <v>33500</v>
      </c>
      <c r="H119" s="7" t="n">
        <v>18100</v>
      </c>
      <c r="I119" s="8" t="n">
        <v>0.3507751937984496</v>
      </c>
    </row>
    <row r="120">
      <c r="A120" s="6" t="inlineStr">
        <is>
          <t>2025-02</t>
        </is>
      </c>
      <c r="B120" s="6" t="inlineStr">
        <is>
          <t>篮球装备</t>
        </is>
      </c>
      <c r="C120" s="6" t="inlineStr">
        <is>
          <t>西部</t>
        </is>
      </c>
      <c r="D120" s="6" t="inlineStr">
        <is>
          <t>刘强</t>
        </is>
      </c>
      <c r="E120" s="6" t="inlineStr">
        <is>
          <t>飞跃训练营</t>
        </is>
      </c>
      <c r="F120" s="7" t="n">
        <v>40700</v>
      </c>
      <c r="G120" s="7" t="n">
        <v>25400</v>
      </c>
      <c r="H120" s="7" t="n">
        <v>15300</v>
      </c>
      <c r="I120" s="8" t="n">
        <v>0.3759213759213759</v>
      </c>
    </row>
    <row r="121">
      <c r="A121" s="6" t="inlineStr">
        <is>
          <t>2025-02</t>
        </is>
      </c>
      <c r="B121" s="6" t="inlineStr">
        <is>
          <t>篮球装备</t>
        </is>
      </c>
      <c r="C121" s="6" t="inlineStr">
        <is>
          <t>西部</t>
        </is>
      </c>
      <c r="D121" s="6" t="inlineStr">
        <is>
          <t>陈静</t>
        </is>
      </c>
      <c r="E121" s="6" t="inlineStr">
        <is>
          <t>风尚健身</t>
        </is>
      </c>
      <c r="F121" s="7" t="n">
        <v>44600</v>
      </c>
      <c r="G121" s="7" t="n">
        <v>28100</v>
      </c>
      <c r="H121" s="7" t="n">
        <v>16500</v>
      </c>
      <c r="I121" s="8" t="n">
        <v>0.3699551569506727</v>
      </c>
    </row>
    <row r="122">
      <c r="A122" s="6" t="inlineStr">
        <is>
          <t>2025-02</t>
        </is>
      </c>
      <c r="B122" s="6" t="inlineStr">
        <is>
          <t>体适能器材</t>
        </is>
      </c>
      <c r="C122" s="6" t="inlineStr">
        <is>
          <t>华东</t>
        </is>
      </c>
      <c r="D122" s="6" t="inlineStr">
        <is>
          <t>张伟</t>
        </is>
      </c>
      <c r="E122" s="6" t="inlineStr">
        <is>
          <t>锐健身工作室</t>
        </is>
      </c>
      <c r="F122" s="7" t="n">
        <v>57600</v>
      </c>
      <c r="G122" s="7" t="n">
        <v>39700</v>
      </c>
      <c r="H122" s="7" t="n">
        <v>17900</v>
      </c>
      <c r="I122" s="8" t="n">
        <v>0.3107638888888889</v>
      </c>
    </row>
    <row r="123">
      <c r="A123" s="6" t="inlineStr">
        <is>
          <t>2025-02</t>
        </is>
      </c>
      <c r="B123" s="6" t="inlineStr">
        <is>
          <t>体适能器材</t>
        </is>
      </c>
      <c r="C123" s="6" t="inlineStr">
        <is>
          <t>华东</t>
        </is>
      </c>
      <c r="D123" s="6" t="inlineStr">
        <is>
          <t>李娜</t>
        </is>
      </c>
      <c r="E123" s="6" t="inlineStr">
        <is>
          <t>动能营养</t>
        </is>
      </c>
      <c r="F123" s="7" t="n">
        <v>67400</v>
      </c>
      <c r="G123" s="7" t="n">
        <v>47200</v>
      </c>
      <c r="H123" s="7" t="n">
        <v>20200</v>
      </c>
      <c r="I123" s="8" t="n">
        <v>0.2997032640949555</v>
      </c>
    </row>
    <row r="124">
      <c r="A124" s="6" t="inlineStr">
        <is>
          <t>2025-02</t>
        </is>
      </c>
      <c r="B124" s="6" t="inlineStr">
        <is>
          <t>体适能器材</t>
        </is>
      </c>
      <c r="C124" s="6" t="inlineStr">
        <is>
          <t>华东</t>
        </is>
      </c>
      <c r="D124" s="6" t="inlineStr">
        <is>
          <t>王芳</t>
        </is>
      </c>
      <c r="E124" s="6" t="inlineStr">
        <is>
          <t>环宇体育</t>
        </is>
      </c>
      <c r="F124" s="7" t="n">
        <v>63500</v>
      </c>
      <c r="G124" s="7" t="n">
        <v>44900</v>
      </c>
      <c r="H124" s="7" t="n">
        <v>18600</v>
      </c>
      <c r="I124" s="8" t="n">
        <v>0.2929133858267717</v>
      </c>
    </row>
    <row r="125">
      <c r="A125" s="6" t="inlineStr">
        <is>
          <t>2025-02</t>
        </is>
      </c>
      <c r="B125" s="6" t="inlineStr">
        <is>
          <t>体适能器材</t>
        </is>
      </c>
      <c r="C125" s="6" t="inlineStr">
        <is>
          <t>华东</t>
        </is>
      </c>
      <c r="D125" s="6" t="inlineStr">
        <is>
          <t>刘强</t>
        </is>
      </c>
      <c r="E125" s="6" t="inlineStr">
        <is>
          <t>巅峰运动</t>
        </is>
      </c>
      <c r="F125" s="7" t="n">
        <v>52600</v>
      </c>
      <c r="G125" s="7" t="n">
        <v>36500</v>
      </c>
      <c r="H125" s="7" t="n">
        <v>16100</v>
      </c>
      <c r="I125" s="8" t="n">
        <v>0.3060836501901141</v>
      </c>
    </row>
    <row r="126">
      <c r="A126" s="6" t="inlineStr">
        <is>
          <t>2025-02</t>
        </is>
      </c>
      <c r="B126" s="6" t="inlineStr">
        <is>
          <t>体适能器材</t>
        </is>
      </c>
      <c r="C126" s="6" t="inlineStr">
        <is>
          <t>华东</t>
        </is>
      </c>
      <c r="D126" s="6" t="inlineStr">
        <is>
          <t>陈静</t>
        </is>
      </c>
      <c r="E126" s="6" t="inlineStr">
        <is>
          <t>飞跃训练营</t>
        </is>
      </c>
      <c r="F126" s="7" t="n">
        <v>50200</v>
      </c>
      <c r="G126" s="7" t="n">
        <v>36500</v>
      </c>
      <c r="H126" s="7" t="n">
        <v>13700</v>
      </c>
      <c r="I126" s="8" t="n">
        <v>0.2729083665338645</v>
      </c>
    </row>
    <row r="127">
      <c r="A127" s="6" t="inlineStr">
        <is>
          <t>2025-02</t>
        </is>
      </c>
      <c r="B127" s="6" t="inlineStr">
        <is>
          <t>体适能器材</t>
        </is>
      </c>
      <c r="C127" s="6" t="inlineStr">
        <is>
          <t>华北</t>
        </is>
      </c>
      <c r="D127" s="6" t="inlineStr">
        <is>
          <t>张伟</t>
        </is>
      </c>
      <c r="E127" s="6" t="inlineStr">
        <is>
          <t>腾飞体育用品</t>
        </is>
      </c>
      <c r="F127" s="7" t="n">
        <v>43700</v>
      </c>
      <c r="G127" s="7" t="n">
        <v>29300</v>
      </c>
      <c r="H127" s="7" t="n">
        <v>14400</v>
      </c>
      <c r="I127" s="8" t="n">
        <v>0.3295194508009153</v>
      </c>
    </row>
    <row r="128">
      <c r="A128" s="6" t="inlineStr">
        <is>
          <t>2025-02</t>
        </is>
      </c>
      <c r="B128" s="6" t="inlineStr">
        <is>
          <t>体适能器材</t>
        </is>
      </c>
      <c r="C128" s="6" t="inlineStr">
        <is>
          <t>华北</t>
        </is>
      </c>
      <c r="D128" s="6" t="inlineStr">
        <is>
          <t>李娜</t>
        </is>
      </c>
      <c r="E128" s="6" t="inlineStr">
        <is>
          <t>小小运动家</t>
        </is>
      </c>
      <c r="F128" s="7" t="n">
        <v>53400</v>
      </c>
      <c r="G128" s="7" t="n">
        <v>38000</v>
      </c>
      <c r="H128" s="7" t="n">
        <v>15400</v>
      </c>
      <c r="I128" s="8" t="n">
        <v>0.2883895131086142</v>
      </c>
    </row>
    <row r="129">
      <c r="A129" s="6" t="inlineStr">
        <is>
          <t>2025-02</t>
        </is>
      </c>
      <c r="B129" s="6" t="inlineStr">
        <is>
          <t>体适能器材</t>
        </is>
      </c>
      <c r="C129" s="6" t="inlineStr">
        <is>
          <t>华北</t>
        </is>
      </c>
      <c r="D129" s="6" t="inlineStr">
        <is>
          <t>王芳</t>
        </is>
      </c>
      <c r="E129" s="6" t="inlineStr">
        <is>
          <t>锐动体育用品</t>
        </is>
      </c>
      <c r="F129" s="7" t="n">
        <v>53400</v>
      </c>
      <c r="G129" s="7" t="n">
        <v>38100</v>
      </c>
      <c r="H129" s="7" t="n">
        <v>15300</v>
      </c>
      <c r="I129" s="8" t="n">
        <v>0.2865168539325842</v>
      </c>
    </row>
    <row r="130">
      <c r="A130" s="6" t="inlineStr">
        <is>
          <t>2025-02</t>
        </is>
      </c>
      <c r="B130" s="6" t="inlineStr">
        <is>
          <t>体适能器材</t>
        </is>
      </c>
      <c r="C130" s="6" t="inlineStr">
        <is>
          <t>华北</t>
        </is>
      </c>
      <c r="D130" s="6" t="inlineStr">
        <is>
          <t>刘强</t>
        </is>
      </c>
      <c r="E130" s="6" t="inlineStr">
        <is>
          <t>元气营养</t>
        </is>
      </c>
      <c r="F130" s="7" t="n">
        <v>43200</v>
      </c>
      <c r="G130" s="7" t="n">
        <v>29600</v>
      </c>
      <c r="H130" s="7" t="n">
        <v>13600</v>
      </c>
      <c r="I130" s="8" t="n">
        <v>0.3148148148148148</v>
      </c>
    </row>
    <row r="131">
      <c r="A131" s="6" t="inlineStr">
        <is>
          <t>2025-02</t>
        </is>
      </c>
      <c r="B131" s="6" t="inlineStr">
        <is>
          <t>体适能器材</t>
        </is>
      </c>
      <c r="C131" s="6" t="inlineStr">
        <is>
          <t>华北</t>
        </is>
      </c>
      <c r="D131" s="6" t="inlineStr">
        <is>
          <t>陈静</t>
        </is>
      </c>
      <c r="E131" s="6" t="inlineStr">
        <is>
          <t>劲爆运动用品</t>
        </is>
      </c>
      <c r="F131" s="7" t="n">
        <v>49700</v>
      </c>
      <c r="G131" s="7" t="n">
        <v>34800</v>
      </c>
      <c r="H131" s="7" t="n">
        <v>14900</v>
      </c>
      <c r="I131" s="8" t="n">
        <v>0.2997987927565393</v>
      </c>
    </row>
    <row r="132">
      <c r="A132" s="6" t="inlineStr">
        <is>
          <t>2025-02</t>
        </is>
      </c>
      <c r="B132" s="6" t="inlineStr">
        <is>
          <t>体适能器材</t>
        </is>
      </c>
      <c r="C132" s="6" t="inlineStr">
        <is>
          <t>华南</t>
        </is>
      </c>
      <c r="D132" s="6" t="inlineStr">
        <is>
          <t>张伟</t>
        </is>
      </c>
      <c r="E132" s="6" t="inlineStr">
        <is>
          <t>锋行体育</t>
        </is>
      </c>
      <c r="F132" s="7" t="n">
        <v>50100</v>
      </c>
      <c r="G132" s="7" t="n">
        <v>36000</v>
      </c>
      <c r="H132" s="7" t="n">
        <v>14100</v>
      </c>
      <c r="I132" s="8" t="n">
        <v>0.281437125748503</v>
      </c>
    </row>
    <row r="133">
      <c r="A133" s="6" t="inlineStr">
        <is>
          <t>2025-02</t>
        </is>
      </c>
      <c r="B133" s="6" t="inlineStr">
        <is>
          <t>体适能器材</t>
        </is>
      </c>
      <c r="C133" s="6" t="inlineStr">
        <is>
          <t>华南</t>
        </is>
      </c>
      <c r="D133" s="6" t="inlineStr">
        <is>
          <t>李娜</t>
        </is>
      </c>
      <c r="E133" s="6" t="inlineStr">
        <is>
          <t>智练体育</t>
        </is>
      </c>
      <c r="F133" s="7" t="n">
        <v>53900</v>
      </c>
      <c r="G133" s="7" t="n">
        <v>38300</v>
      </c>
      <c r="H133" s="7" t="n">
        <v>15600</v>
      </c>
      <c r="I133" s="8" t="n">
        <v>0.2894248608534323</v>
      </c>
    </row>
    <row r="134">
      <c r="A134" s="6" t="inlineStr">
        <is>
          <t>2025-02</t>
        </is>
      </c>
      <c r="B134" s="6" t="inlineStr">
        <is>
          <t>体适能器材</t>
        </is>
      </c>
      <c r="C134" s="6" t="inlineStr">
        <is>
          <t>华南</t>
        </is>
      </c>
      <c r="D134" s="6" t="inlineStr">
        <is>
          <t>王芳</t>
        </is>
      </c>
      <c r="E134" s="6" t="inlineStr">
        <is>
          <t>跃动少儿运动馆</t>
        </is>
      </c>
      <c r="F134" s="7" t="n">
        <v>47000</v>
      </c>
      <c r="G134" s="7" t="n">
        <v>32100</v>
      </c>
      <c r="H134" s="7" t="n">
        <v>14900</v>
      </c>
      <c r="I134" s="8" t="n">
        <v>0.3170212765957447</v>
      </c>
    </row>
    <row r="135">
      <c r="A135" s="6" t="inlineStr">
        <is>
          <t>2025-02</t>
        </is>
      </c>
      <c r="B135" s="6" t="inlineStr">
        <is>
          <t>体适能器材</t>
        </is>
      </c>
      <c r="C135" s="6" t="inlineStr">
        <is>
          <t>华南</t>
        </is>
      </c>
      <c r="D135" s="6" t="inlineStr">
        <is>
          <t>刘强</t>
        </is>
      </c>
      <c r="E135" s="6" t="inlineStr">
        <is>
          <t>纵横运动</t>
        </is>
      </c>
      <c r="F135" s="7" t="n">
        <v>48300</v>
      </c>
      <c r="G135" s="7" t="n">
        <v>34000</v>
      </c>
      <c r="H135" s="7" t="n">
        <v>14300</v>
      </c>
      <c r="I135" s="8" t="n">
        <v>0.2960662525879917</v>
      </c>
    </row>
    <row r="136">
      <c r="A136" s="6" t="inlineStr">
        <is>
          <t>2025-02</t>
        </is>
      </c>
      <c r="B136" s="6" t="inlineStr">
        <is>
          <t>体适能器材</t>
        </is>
      </c>
      <c r="C136" s="6" t="inlineStr">
        <is>
          <t>华南</t>
        </is>
      </c>
      <c r="D136" s="6" t="inlineStr">
        <is>
          <t>陈静</t>
        </is>
      </c>
      <c r="E136" s="6" t="inlineStr">
        <is>
          <t>康威运动商城</t>
        </is>
      </c>
      <c r="F136" s="7" t="n">
        <v>44900</v>
      </c>
      <c r="G136" s="7" t="n">
        <v>31100</v>
      </c>
      <c r="H136" s="7" t="n">
        <v>13800</v>
      </c>
      <c r="I136" s="8" t="n">
        <v>0.3073496659242761</v>
      </c>
    </row>
    <row r="137">
      <c r="A137" s="6" t="inlineStr">
        <is>
          <t>2025-02</t>
        </is>
      </c>
      <c r="B137" s="6" t="inlineStr">
        <is>
          <t>体适能器材</t>
        </is>
      </c>
      <c r="C137" s="6" t="inlineStr">
        <is>
          <t>西部</t>
        </is>
      </c>
      <c r="D137" s="6" t="inlineStr">
        <is>
          <t>张伟</t>
        </is>
      </c>
      <c r="E137" s="6" t="inlineStr">
        <is>
          <t>优加体能中心</t>
        </is>
      </c>
      <c r="F137" s="7" t="n">
        <v>31100</v>
      </c>
      <c r="G137" s="7" t="n">
        <v>22300</v>
      </c>
      <c r="H137" s="7" t="n">
        <v>8800</v>
      </c>
      <c r="I137" s="8" t="n">
        <v>0.2829581993569132</v>
      </c>
    </row>
    <row r="138">
      <c r="A138" s="6" t="inlineStr">
        <is>
          <t>2025-02</t>
        </is>
      </c>
      <c r="B138" s="6" t="inlineStr">
        <is>
          <t>体适能器材</t>
        </is>
      </c>
      <c r="C138" s="6" t="inlineStr">
        <is>
          <t>西部</t>
        </is>
      </c>
      <c r="D138" s="6" t="inlineStr">
        <is>
          <t>李娜</t>
        </is>
      </c>
      <c r="E138" s="6" t="inlineStr">
        <is>
          <t>童行运动馆</t>
        </is>
      </c>
      <c r="F138" s="7" t="n">
        <v>29700</v>
      </c>
      <c r="G138" s="7" t="n">
        <v>20800</v>
      </c>
      <c r="H138" s="7" t="n">
        <v>8900</v>
      </c>
      <c r="I138" s="8" t="n">
        <v>0.2996632996632997</v>
      </c>
    </row>
    <row r="139">
      <c r="A139" s="6" t="inlineStr">
        <is>
          <t>2025-02</t>
        </is>
      </c>
      <c r="B139" s="6" t="inlineStr">
        <is>
          <t>体适能器材</t>
        </is>
      </c>
      <c r="C139" s="6" t="inlineStr">
        <is>
          <t>西部</t>
        </is>
      </c>
      <c r="D139" s="6" t="inlineStr">
        <is>
          <t>王芳</t>
        </is>
      </c>
      <c r="E139" s="6" t="inlineStr">
        <is>
          <t>领跑体育</t>
        </is>
      </c>
      <c r="F139" s="7" t="n">
        <v>36000</v>
      </c>
      <c r="G139" s="7" t="n">
        <v>26300</v>
      </c>
      <c r="H139" s="7" t="n">
        <v>9700</v>
      </c>
      <c r="I139" s="8" t="n">
        <v>0.2694444444444444</v>
      </c>
    </row>
    <row r="140">
      <c r="A140" s="6" t="inlineStr">
        <is>
          <t>2025-02</t>
        </is>
      </c>
      <c r="B140" s="6" t="inlineStr">
        <is>
          <t>体适能器材</t>
        </is>
      </c>
      <c r="C140" s="6" t="inlineStr">
        <is>
          <t>西部</t>
        </is>
      </c>
      <c r="D140" s="6" t="inlineStr">
        <is>
          <t>刘强</t>
        </is>
      </c>
      <c r="E140" s="6" t="inlineStr">
        <is>
          <t>元气营养</t>
        </is>
      </c>
      <c r="F140" s="7" t="n">
        <v>30200</v>
      </c>
      <c r="G140" s="7" t="n">
        <v>21700</v>
      </c>
      <c r="H140" s="7" t="n">
        <v>8500</v>
      </c>
      <c r="I140" s="8" t="n">
        <v>0.2814569536423841</v>
      </c>
    </row>
    <row r="141">
      <c r="A141" s="6" t="inlineStr">
        <is>
          <t>2025-02</t>
        </is>
      </c>
      <c r="B141" s="6" t="inlineStr">
        <is>
          <t>体适能器材</t>
        </is>
      </c>
      <c r="C141" s="6" t="inlineStr">
        <is>
          <t>西部</t>
        </is>
      </c>
      <c r="D141" s="6" t="inlineStr">
        <is>
          <t>陈静</t>
        </is>
      </c>
      <c r="E141" s="6" t="inlineStr">
        <is>
          <t>强体体育</t>
        </is>
      </c>
      <c r="F141" s="7" t="n">
        <v>30600</v>
      </c>
      <c r="G141" s="7" t="n">
        <v>21000</v>
      </c>
      <c r="H141" s="7" t="n">
        <v>9600</v>
      </c>
      <c r="I141" s="8" t="n">
        <v>0.3137254901960784</v>
      </c>
    </row>
    <row r="142">
      <c r="A142" s="6" t="inlineStr">
        <is>
          <t>2025-02</t>
        </is>
      </c>
      <c r="B142" s="6" t="inlineStr">
        <is>
          <t>训练服饰</t>
        </is>
      </c>
      <c r="C142" s="6" t="inlineStr">
        <is>
          <t>华东</t>
        </is>
      </c>
      <c r="D142" s="6" t="inlineStr">
        <is>
          <t>张伟</t>
        </is>
      </c>
      <c r="E142" s="6" t="inlineStr">
        <is>
          <t>强体体育</t>
        </is>
      </c>
      <c r="F142" s="7" t="n">
        <v>39600</v>
      </c>
      <c r="G142" s="7" t="n">
        <v>21800</v>
      </c>
      <c r="H142" s="7" t="n">
        <v>17800</v>
      </c>
      <c r="I142" s="8" t="n">
        <v>0.4494949494949495</v>
      </c>
    </row>
    <row r="143">
      <c r="A143" s="6" t="inlineStr">
        <is>
          <t>2025-02</t>
        </is>
      </c>
      <c r="B143" s="6" t="inlineStr">
        <is>
          <t>训练服饰</t>
        </is>
      </c>
      <c r="C143" s="6" t="inlineStr">
        <is>
          <t>华东</t>
        </is>
      </c>
      <c r="D143" s="6" t="inlineStr">
        <is>
          <t>李娜</t>
        </is>
      </c>
      <c r="E143" s="6" t="inlineStr">
        <is>
          <t>迈步体育</t>
        </is>
      </c>
      <c r="F143" s="7" t="n">
        <v>41500</v>
      </c>
      <c r="G143" s="7" t="n">
        <v>23900</v>
      </c>
      <c r="H143" s="7" t="n">
        <v>17600</v>
      </c>
      <c r="I143" s="8" t="n">
        <v>0.4240963855421687</v>
      </c>
    </row>
    <row r="144">
      <c r="A144" s="6" t="inlineStr">
        <is>
          <t>2025-02</t>
        </is>
      </c>
      <c r="B144" s="6" t="inlineStr">
        <is>
          <t>训练服饰</t>
        </is>
      </c>
      <c r="C144" s="6" t="inlineStr">
        <is>
          <t>华东</t>
        </is>
      </c>
      <c r="D144" s="6" t="inlineStr">
        <is>
          <t>王芳</t>
        </is>
      </c>
      <c r="E144" s="6" t="inlineStr">
        <is>
          <t>劲爆运动用品</t>
        </is>
      </c>
      <c r="F144" s="7" t="n">
        <v>39900</v>
      </c>
      <c r="G144" s="7" t="n">
        <v>22500</v>
      </c>
      <c r="H144" s="7" t="n">
        <v>17400</v>
      </c>
      <c r="I144" s="8" t="n">
        <v>0.4360902255639098</v>
      </c>
    </row>
    <row r="145">
      <c r="A145" s="6" t="inlineStr">
        <is>
          <t>2025-02</t>
        </is>
      </c>
      <c r="B145" s="6" t="inlineStr">
        <is>
          <t>训练服饰</t>
        </is>
      </c>
      <c r="C145" s="6" t="inlineStr">
        <is>
          <t>华东</t>
        </is>
      </c>
      <c r="D145" s="6" t="inlineStr">
        <is>
          <t>刘强</t>
        </is>
      </c>
      <c r="E145" s="6" t="inlineStr">
        <is>
          <t>冠军之路俱乐部</t>
        </is>
      </c>
      <c r="F145" s="7" t="n">
        <v>33900</v>
      </c>
      <c r="G145" s="7" t="n">
        <v>19200</v>
      </c>
      <c r="H145" s="7" t="n">
        <v>14700</v>
      </c>
      <c r="I145" s="8" t="n">
        <v>0.4336283185840708</v>
      </c>
    </row>
    <row r="146">
      <c r="A146" s="6" t="inlineStr">
        <is>
          <t>2025-02</t>
        </is>
      </c>
      <c r="B146" s="6" t="inlineStr">
        <is>
          <t>训练服饰</t>
        </is>
      </c>
      <c r="C146" s="6" t="inlineStr">
        <is>
          <t>华东</t>
        </is>
      </c>
      <c r="D146" s="6" t="inlineStr">
        <is>
          <t>陈静</t>
        </is>
      </c>
      <c r="E146" s="6" t="inlineStr">
        <is>
          <t>风尚健身</t>
        </is>
      </c>
      <c r="F146" s="7" t="n">
        <v>39100</v>
      </c>
      <c r="G146" s="7" t="n">
        <v>21300</v>
      </c>
      <c r="H146" s="7" t="n">
        <v>17800</v>
      </c>
      <c r="I146" s="8" t="n">
        <v>0.4552429667519182</v>
      </c>
    </row>
    <row r="147">
      <c r="A147" s="6" t="inlineStr">
        <is>
          <t>2025-02</t>
        </is>
      </c>
      <c r="B147" s="6" t="inlineStr">
        <is>
          <t>训练服饰</t>
        </is>
      </c>
      <c r="C147" s="6" t="inlineStr">
        <is>
          <t>华北</t>
        </is>
      </c>
      <c r="D147" s="6" t="inlineStr">
        <is>
          <t>张伟</t>
        </is>
      </c>
      <c r="E147" s="6" t="inlineStr">
        <is>
          <t>活力无限健身</t>
        </is>
      </c>
      <c r="F147" s="7" t="n">
        <v>27900</v>
      </c>
      <c r="G147" s="7" t="n">
        <v>15900</v>
      </c>
      <c r="H147" s="7" t="n">
        <v>12000</v>
      </c>
      <c r="I147" s="8" t="n">
        <v>0.4301075268817204</v>
      </c>
    </row>
    <row r="148">
      <c r="A148" s="6" t="inlineStr">
        <is>
          <t>2025-02</t>
        </is>
      </c>
      <c r="B148" s="6" t="inlineStr">
        <is>
          <t>训练服饰</t>
        </is>
      </c>
      <c r="C148" s="6" t="inlineStr">
        <is>
          <t>华北</t>
        </is>
      </c>
      <c r="D148" s="6" t="inlineStr">
        <is>
          <t>李娜</t>
        </is>
      </c>
      <c r="E148" s="6" t="inlineStr">
        <is>
          <t>天天向上健身</t>
        </is>
      </c>
      <c r="F148" s="7" t="n">
        <v>27400</v>
      </c>
      <c r="G148" s="7" t="n">
        <v>14500</v>
      </c>
      <c r="H148" s="7" t="n">
        <v>12900</v>
      </c>
      <c r="I148" s="8" t="n">
        <v>0.4708029197080292</v>
      </c>
    </row>
    <row r="149">
      <c r="A149" s="6" t="inlineStr">
        <is>
          <t>2025-02</t>
        </is>
      </c>
      <c r="B149" s="6" t="inlineStr">
        <is>
          <t>训练服饰</t>
        </is>
      </c>
      <c r="C149" s="6" t="inlineStr">
        <is>
          <t>华北</t>
        </is>
      </c>
      <c r="D149" s="6" t="inlineStr">
        <is>
          <t>王芳</t>
        </is>
      </c>
      <c r="E149" s="6" t="inlineStr">
        <is>
          <t>环宇体育</t>
        </is>
      </c>
      <c r="F149" s="7" t="n">
        <v>28400</v>
      </c>
      <c r="G149" s="7" t="n">
        <v>15900</v>
      </c>
      <c r="H149" s="7" t="n">
        <v>12500</v>
      </c>
      <c r="I149" s="8" t="n">
        <v>0.4401408450704226</v>
      </c>
    </row>
    <row r="150">
      <c r="A150" s="6" t="inlineStr">
        <is>
          <t>2025-02</t>
        </is>
      </c>
      <c r="B150" s="6" t="inlineStr">
        <is>
          <t>训练服饰</t>
        </is>
      </c>
      <c r="C150" s="6" t="inlineStr">
        <is>
          <t>华北</t>
        </is>
      </c>
      <c r="D150" s="6" t="inlineStr">
        <is>
          <t>刘强</t>
        </is>
      </c>
      <c r="E150" s="6" t="inlineStr">
        <is>
          <t>悍将运动</t>
        </is>
      </c>
      <c r="F150" s="7" t="n">
        <v>26400</v>
      </c>
      <c r="G150" s="7" t="n">
        <v>15100</v>
      </c>
      <c r="H150" s="7" t="n">
        <v>11300</v>
      </c>
      <c r="I150" s="8" t="n">
        <v>0.428030303030303</v>
      </c>
    </row>
    <row r="151">
      <c r="A151" s="6" t="inlineStr">
        <is>
          <t>2025-02</t>
        </is>
      </c>
      <c r="B151" s="6" t="inlineStr">
        <is>
          <t>训练服饰</t>
        </is>
      </c>
      <c r="C151" s="6" t="inlineStr">
        <is>
          <t>华北</t>
        </is>
      </c>
      <c r="D151" s="6" t="inlineStr">
        <is>
          <t>陈静</t>
        </is>
      </c>
      <c r="E151" s="6" t="inlineStr">
        <is>
          <t>迈步体育</t>
        </is>
      </c>
      <c r="F151" s="7" t="n">
        <v>27600</v>
      </c>
      <c r="G151" s="7" t="n">
        <v>15800</v>
      </c>
      <c r="H151" s="7" t="n">
        <v>11800</v>
      </c>
      <c r="I151" s="8" t="n">
        <v>0.427536231884058</v>
      </c>
    </row>
    <row r="152">
      <c r="A152" s="6" t="inlineStr">
        <is>
          <t>2025-02</t>
        </is>
      </c>
      <c r="B152" s="6" t="inlineStr">
        <is>
          <t>训练服饰</t>
        </is>
      </c>
      <c r="C152" s="6" t="inlineStr">
        <is>
          <t>华南</t>
        </is>
      </c>
      <c r="D152" s="6" t="inlineStr">
        <is>
          <t>张伟</t>
        </is>
      </c>
      <c r="E152" s="6" t="inlineStr">
        <is>
          <t>篮途体育文化</t>
        </is>
      </c>
      <c r="F152" s="7" t="n">
        <v>31200</v>
      </c>
      <c r="G152" s="7" t="n">
        <v>18100</v>
      </c>
      <c r="H152" s="7" t="n">
        <v>13100</v>
      </c>
      <c r="I152" s="8" t="n">
        <v>0.4198717948717949</v>
      </c>
    </row>
    <row r="153">
      <c r="A153" s="6" t="inlineStr">
        <is>
          <t>2025-02</t>
        </is>
      </c>
      <c r="B153" s="6" t="inlineStr">
        <is>
          <t>训练服饰</t>
        </is>
      </c>
      <c r="C153" s="6" t="inlineStr">
        <is>
          <t>华南</t>
        </is>
      </c>
      <c r="D153" s="6" t="inlineStr">
        <is>
          <t>李娜</t>
        </is>
      </c>
      <c r="E153" s="6" t="inlineStr">
        <is>
          <t>篮途体育文化</t>
        </is>
      </c>
      <c r="F153" s="7" t="n">
        <v>37800</v>
      </c>
      <c r="G153" s="7" t="n">
        <v>19800</v>
      </c>
      <c r="H153" s="7" t="n">
        <v>18000</v>
      </c>
      <c r="I153" s="8" t="n">
        <v>0.4761904761904762</v>
      </c>
    </row>
    <row r="154">
      <c r="A154" s="6" t="inlineStr">
        <is>
          <t>2025-02</t>
        </is>
      </c>
      <c r="B154" s="6" t="inlineStr">
        <is>
          <t>训练服饰</t>
        </is>
      </c>
      <c r="C154" s="6" t="inlineStr">
        <is>
          <t>华南</t>
        </is>
      </c>
      <c r="D154" s="6" t="inlineStr">
        <is>
          <t>王芳</t>
        </is>
      </c>
      <c r="E154" s="6" t="inlineStr">
        <is>
          <t>篮途体育文化</t>
        </is>
      </c>
      <c r="F154" s="7" t="n">
        <v>32600</v>
      </c>
      <c r="G154" s="7" t="n">
        <v>17300</v>
      </c>
      <c r="H154" s="7" t="n">
        <v>15300</v>
      </c>
      <c r="I154" s="8" t="n">
        <v>0.4693251533742331</v>
      </c>
    </row>
    <row r="155">
      <c r="A155" s="6" t="inlineStr">
        <is>
          <t>2025-02</t>
        </is>
      </c>
      <c r="B155" s="6" t="inlineStr">
        <is>
          <t>训练服饰</t>
        </is>
      </c>
      <c r="C155" s="6" t="inlineStr">
        <is>
          <t>华南</t>
        </is>
      </c>
      <c r="D155" s="6" t="inlineStr">
        <is>
          <t>刘强</t>
        </is>
      </c>
      <c r="E155" s="6" t="inlineStr">
        <is>
          <t>冠军之路俱乐部</t>
        </is>
      </c>
      <c r="F155" s="7" t="n">
        <v>33600</v>
      </c>
      <c r="G155" s="7" t="n">
        <v>18400</v>
      </c>
      <c r="H155" s="7" t="n">
        <v>15200</v>
      </c>
      <c r="I155" s="8" t="n">
        <v>0.4523809523809524</v>
      </c>
    </row>
    <row r="156">
      <c r="A156" s="6" t="inlineStr">
        <is>
          <t>2025-02</t>
        </is>
      </c>
      <c r="B156" s="6" t="inlineStr">
        <is>
          <t>训练服饰</t>
        </is>
      </c>
      <c r="C156" s="6" t="inlineStr">
        <is>
          <t>华南</t>
        </is>
      </c>
      <c r="D156" s="6" t="inlineStr">
        <is>
          <t>陈静</t>
        </is>
      </c>
      <c r="E156" s="6" t="inlineStr">
        <is>
          <t>小小运动家</t>
        </is>
      </c>
      <c r="F156" s="7" t="n">
        <v>32300</v>
      </c>
      <c r="G156" s="7" t="n">
        <v>17800</v>
      </c>
      <c r="H156" s="7" t="n">
        <v>14500</v>
      </c>
      <c r="I156" s="8" t="n">
        <v>0.4489164086687307</v>
      </c>
    </row>
    <row r="157">
      <c r="A157" s="6" t="inlineStr">
        <is>
          <t>2025-02</t>
        </is>
      </c>
      <c r="B157" s="6" t="inlineStr">
        <is>
          <t>训练服饰</t>
        </is>
      </c>
      <c r="C157" s="6" t="inlineStr">
        <is>
          <t>西部</t>
        </is>
      </c>
      <c r="D157" s="6" t="inlineStr">
        <is>
          <t>张伟</t>
        </is>
      </c>
      <c r="E157" s="6" t="inlineStr">
        <is>
          <t>卓越体能训练营</t>
        </is>
      </c>
      <c r="F157" s="7" t="n">
        <v>21900</v>
      </c>
      <c r="G157" s="7" t="n">
        <v>12100</v>
      </c>
      <c r="H157" s="7" t="n">
        <v>9800</v>
      </c>
      <c r="I157" s="8" t="n">
        <v>0.4474885844748858</v>
      </c>
    </row>
    <row r="158">
      <c r="A158" s="6" t="inlineStr">
        <is>
          <t>2025-02</t>
        </is>
      </c>
      <c r="B158" s="6" t="inlineStr">
        <is>
          <t>训练服饰</t>
        </is>
      </c>
      <c r="C158" s="6" t="inlineStr">
        <is>
          <t>西部</t>
        </is>
      </c>
      <c r="D158" s="6" t="inlineStr">
        <is>
          <t>李娜</t>
        </is>
      </c>
      <c r="E158" s="6" t="inlineStr">
        <is>
          <t>智练体育</t>
        </is>
      </c>
      <c r="F158" s="7" t="n">
        <v>25000</v>
      </c>
      <c r="G158" s="7" t="n">
        <v>14100</v>
      </c>
      <c r="H158" s="7" t="n">
        <v>10900</v>
      </c>
      <c r="I158" s="8" t="n">
        <v>0.436</v>
      </c>
    </row>
    <row r="159">
      <c r="A159" s="6" t="inlineStr">
        <is>
          <t>2025-02</t>
        </is>
      </c>
      <c r="B159" s="6" t="inlineStr">
        <is>
          <t>训练服饰</t>
        </is>
      </c>
      <c r="C159" s="6" t="inlineStr">
        <is>
          <t>西部</t>
        </is>
      </c>
      <c r="D159" s="6" t="inlineStr">
        <is>
          <t>王芳</t>
        </is>
      </c>
      <c r="E159" s="6" t="inlineStr">
        <is>
          <t>星跃体育</t>
        </is>
      </c>
      <c r="F159" s="7" t="n">
        <v>24700</v>
      </c>
      <c r="G159" s="7" t="n">
        <v>13700</v>
      </c>
      <c r="H159" s="7" t="n">
        <v>11000</v>
      </c>
      <c r="I159" s="8" t="n">
        <v>0.4453441295546559</v>
      </c>
    </row>
    <row r="160">
      <c r="A160" s="6" t="inlineStr">
        <is>
          <t>2025-02</t>
        </is>
      </c>
      <c r="B160" s="6" t="inlineStr">
        <is>
          <t>训练服饰</t>
        </is>
      </c>
      <c r="C160" s="6" t="inlineStr">
        <is>
          <t>西部</t>
        </is>
      </c>
      <c r="D160" s="6" t="inlineStr">
        <is>
          <t>刘强</t>
        </is>
      </c>
      <c r="E160" s="6" t="inlineStr">
        <is>
          <t>风云篮球馆</t>
        </is>
      </c>
      <c r="F160" s="7" t="n">
        <v>19300</v>
      </c>
      <c r="G160" s="7" t="n">
        <v>10800</v>
      </c>
      <c r="H160" s="7" t="n">
        <v>8500</v>
      </c>
      <c r="I160" s="8" t="n">
        <v>0.4404145077720207</v>
      </c>
    </row>
    <row r="161">
      <c r="A161" s="6" t="inlineStr">
        <is>
          <t>2025-02</t>
        </is>
      </c>
      <c r="B161" s="6" t="inlineStr">
        <is>
          <t>训练服饰</t>
        </is>
      </c>
      <c r="C161" s="6" t="inlineStr">
        <is>
          <t>西部</t>
        </is>
      </c>
      <c r="D161" s="6" t="inlineStr">
        <is>
          <t>陈静</t>
        </is>
      </c>
      <c r="E161" s="6" t="inlineStr">
        <is>
          <t>锐健身工作室</t>
        </is>
      </c>
      <c r="F161" s="7" t="n">
        <v>19700</v>
      </c>
      <c r="G161" s="7" t="n">
        <v>10300</v>
      </c>
      <c r="H161" s="7" t="n">
        <v>9400</v>
      </c>
      <c r="I161" s="8" t="n">
        <v>0.4771573604060914</v>
      </c>
    </row>
    <row r="162">
      <c r="A162" s="6" t="inlineStr">
        <is>
          <t>2025-02</t>
        </is>
      </c>
      <c r="B162" s="6" t="inlineStr">
        <is>
          <t>营养补给</t>
        </is>
      </c>
      <c r="C162" s="6" t="inlineStr">
        <is>
          <t>华东</t>
        </is>
      </c>
      <c r="D162" s="6" t="inlineStr">
        <is>
          <t>张伟</t>
        </is>
      </c>
      <c r="E162" s="6" t="inlineStr">
        <is>
          <t>乐动体育</t>
        </is>
      </c>
      <c r="F162" s="7" t="n">
        <v>45200</v>
      </c>
      <c r="G162" s="7" t="n">
        <v>34000</v>
      </c>
      <c r="H162" s="7" t="n">
        <v>11200</v>
      </c>
      <c r="I162" s="8" t="n">
        <v>0.247787610619469</v>
      </c>
    </row>
    <row r="163">
      <c r="A163" s="6" t="inlineStr">
        <is>
          <t>2025-02</t>
        </is>
      </c>
      <c r="B163" s="6" t="inlineStr">
        <is>
          <t>营养补给</t>
        </is>
      </c>
      <c r="C163" s="6" t="inlineStr">
        <is>
          <t>华东</t>
        </is>
      </c>
      <c r="D163" s="6" t="inlineStr">
        <is>
          <t>李娜</t>
        </is>
      </c>
      <c r="E163" s="6" t="inlineStr">
        <is>
          <t>极客穿戴</t>
        </is>
      </c>
      <c r="F163" s="7" t="n">
        <v>51600</v>
      </c>
      <c r="G163" s="7" t="n">
        <v>37200</v>
      </c>
      <c r="H163" s="7" t="n">
        <v>14400</v>
      </c>
      <c r="I163" s="8" t="n">
        <v>0.2790697674418605</v>
      </c>
    </row>
    <row r="164">
      <c r="A164" s="6" t="inlineStr">
        <is>
          <t>2025-02</t>
        </is>
      </c>
      <c r="B164" s="6" t="inlineStr">
        <is>
          <t>营养补给</t>
        </is>
      </c>
      <c r="C164" s="6" t="inlineStr">
        <is>
          <t>华东</t>
        </is>
      </c>
      <c r="D164" s="6" t="inlineStr">
        <is>
          <t>王芳</t>
        </is>
      </c>
      <c r="E164" s="6" t="inlineStr">
        <is>
          <t>极客穿戴</t>
        </is>
      </c>
      <c r="F164" s="7" t="n">
        <v>59200</v>
      </c>
      <c r="G164" s="7" t="n">
        <v>43600</v>
      </c>
      <c r="H164" s="7" t="n">
        <v>15600</v>
      </c>
      <c r="I164" s="8" t="n">
        <v>0.2635135135135135</v>
      </c>
    </row>
    <row r="165">
      <c r="A165" s="6" t="inlineStr">
        <is>
          <t>2025-02</t>
        </is>
      </c>
      <c r="B165" s="6" t="inlineStr">
        <is>
          <t>营养补给</t>
        </is>
      </c>
      <c r="C165" s="6" t="inlineStr">
        <is>
          <t>华东</t>
        </is>
      </c>
      <c r="D165" s="6" t="inlineStr">
        <is>
          <t>刘强</t>
        </is>
      </c>
      <c r="E165" s="6" t="inlineStr">
        <is>
          <t>跃动少儿运动馆</t>
        </is>
      </c>
      <c r="F165" s="7" t="n">
        <v>48200</v>
      </c>
      <c r="G165" s="7" t="n">
        <v>35100</v>
      </c>
      <c r="H165" s="7" t="n">
        <v>13100</v>
      </c>
      <c r="I165" s="8" t="n">
        <v>0.2717842323651452</v>
      </c>
    </row>
    <row r="166">
      <c r="A166" s="6" t="inlineStr">
        <is>
          <t>2025-02</t>
        </is>
      </c>
      <c r="B166" s="6" t="inlineStr">
        <is>
          <t>营养补给</t>
        </is>
      </c>
      <c r="C166" s="6" t="inlineStr">
        <is>
          <t>华东</t>
        </is>
      </c>
      <c r="D166" s="6" t="inlineStr">
        <is>
          <t>陈静</t>
        </is>
      </c>
      <c r="E166" s="6" t="inlineStr">
        <is>
          <t>小小运动家</t>
        </is>
      </c>
      <c r="F166" s="7" t="n">
        <v>46800</v>
      </c>
      <c r="G166" s="7" t="n">
        <v>35000</v>
      </c>
      <c r="H166" s="7" t="n">
        <v>11800</v>
      </c>
      <c r="I166" s="8" t="n">
        <v>0.2521367521367521</v>
      </c>
    </row>
    <row r="167">
      <c r="A167" s="6" t="inlineStr">
        <is>
          <t>2025-02</t>
        </is>
      </c>
      <c r="B167" s="6" t="inlineStr">
        <is>
          <t>营养补给</t>
        </is>
      </c>
      <c r="C167" s="6" t="inlineStr">
        <is>
          <t>华北</t>
        </is>
      </c>
      <c r="D167" s="6" t="inlineStr">
        <is>
          <t>张伟</t>
        </is>
      </c>
      <c r="E167" s="6" t="inlineStr">
        <is>
          <t>动能营养</t>
        </is>
      </c>
      <c r="F167" s="7" t="n">
        <v>40200</v>
      </c>
      <c r="G167" s="7" t="n">
        <v>29700</v>
      </c>
      <c r="H167" s="7" t="n">
        <v>10500</v>
      </c>
      <c r="I167" s="8" t="n">
        <v>0.2611940298507462</v>
      </c>
    </row>
    <row r="168">
      <c r="A168" s="6" t="inlineStr">
        <is>
          <t>2025-02</t>
        </is>
      </c>
      <c r="B168" s="6" t="inlineStr">
        <is>
          <t>营养补给</t>
        </is>
      </c>
      <c r="C168" s="6" t="inlineStr">
        <is>
          <t>华北</t>
        </is>
      </c>
      <c r="D168" s="6" t="inlineStr">
        <is>
          <t>李娜</t>
        </is>
      </c>
      <c r="E168" s="6" t="inlineStr">
        <is>
          <t>小小运动家</t>
        </is>
      </c>
      <c r="F168" s="7" t="n">
        <v>37200</v>
      </c>
      <c r="G168" s="7" t="n">
        <v>27900</v>
      </c>
      <c r="H168" s="7" t="n">
        <v>9300</v>
      </c>
      <c r="I168" s="8" t="n">
        <v>0.25</v>
      </c>
    </row>
    <row r="169">
      <c r="A169" s="6" t="inlineStr">
        <is>
          <t>2025-02</t>
        </is>
      </c>
      <c r="B169" s="6" t="inlineStr">
        <is>
          <t>营养补给</t>
        </is>
      </c>
      <c r="C169" s="6" t="inlineStr">
        <is>
          <t>华北</t>
        </is>
      </c>
      <c r="D169" s="6" t="inlineStr">
        <is>
          <t>王芳</t>
        </is>
      </c>
      <c r="E169" s="6" t="inlineStr">
        <is>
          <t>风尚健身</t>
        </is>
      </c>
      <c r="F169" s="7" t="n">
        <v>41600</v>
      </c>
      <c r="G169" s="7" t="n">
        <v>31600</v>
      </c>
      <c r="H169" s="7" t="n">
        <v>10000</v>
      </c>
      <c r="I169" s="8" t="n">
        <v>0.2403846153846154</v>
      </c>
    </row>
    <row r="170">
      <c r="A170" s="6" t="inlineStr">
        <is>
          <t>2025-02</t>
        </is>
      </c>
      <c r="B170" s="6" t="inlineStr">
        <is>
          <t>营养补给</t>
        </is>
      </c>
      <c r="C170" s="6" t="inlineStr">
        <is>
          <t>华北</t>
        </is>
      </c>
      <c r="D170" s="6" t="inlineStr">
        <is>
          <t>刘强</t>
        </is>
      </c>
      <c r="E170" s="6" t="inlineStr">
        <is>
          <t>锐健身工作室</t>
        </is>
      </c>
      <c r="F170" s="7" t="n">
        <v>39200</v>
      </c>
      <c r="G170" s="7" t="n">
        <v>30100</v>
      </c>
      <c r="H170" s="7" t="n">
        <v>9100</v>
      </c>
      <c r="I170" s="8" t="n">
        <v>0.2321428571428572</v>
      </c>
    </row>
    <row r="171">
      <c r="A171" s="6" t="inlineStr">
        <is>
          <t>2025-02</t>
        </is>
      </c>
      <c r="B171" s="6" t="inlineStr">
        <is>
          <t>营养补给</t>
        </is>
      </c>
      <c r="C171" s="6" t="inlineStr">
        <is>
          <t>华北</t>
        </is>
      </c>
      <c r="D171" s="6" t="inlineStr">
        <is>
          <t>陈静</t>
        </is>
      </c>
      <c r="E171" s="6" t="inlineStr">
        <is>
          <t>小飞侠运动俱乐部</t>
        </is>
      </c>
      <c r="F171" s="7" t="n">
        <v>39600</v>
      </c>
      <c r="G171" s="7" t="n">
        <v>28500</v>
      </c>
      <c r="H171" s="7" t="n">
        <v>11100</v>
      </c>
      <c r="I171" s="8" t="n">
        <v>0.2803030303030303</v>
      </c>
    </row>
    <row r="172">
      <c r="A172" s="6" t="inlineStr">
        <is>
          <t>2025-02</t>
        </is>
      </c>
      <c r="B172" s="6" t="inlineStr">
        <is>
          <t>营养补给</t>
        </is>
      </c>
      <c r="C172" s="6" t="inlineStr">
        <is>
          <t>华南</t>
        </is>
      </c>
      <c r="D172" s="6" t="inlineStr">
        <is>
          <t>张伟</t>
        </is>
      </c>
      <c r="E172" s="6" t="inlineStr">
        <is>
          <t>茁长少儿体适能</t>
        </is>
      </c>
      <c r="F172" s="7" t="n">
        <v>38600</v>
      </c>
      <c r="G172" s="7" t="n">
        <v>29800</v>
      </c>
      <c r="H172" s="7" t="n">
        <v>8800</v>
      </c>
      <c r="I172" s="8" t="n">
        <v>0.227979274611399</v>
      </c>
    </row>
    <row r="173">
      <c r="A173" s="6" t="inlineStr">
        <is>
          <t>2025-02</t>
        </is>
      </c>
      <c r="B173" s="6" t="inlineStr">
        <is>
          <t>营养补给</t>
        </is>
      </c>
      <c r="C173" s="6" t="inlineStr">
        <is>
          <t>华南</t>
        </is>
      </c>
      <c r="D173" s="6" t="inlineStr">
        <is>
          <t>李娜</t>
        </is>
      </c>
      <c r="E173" s="6" t="inlineStr">
        <is>
          <t>劲爆运动用品</t>
        </is>
      </c>
      <c r="F173" s="7" t="n">
        <v>47900</v>
      </c>
      <c r="G173" s="7" t="n">
        <v>35200</v>
      </c>
      <c r="H173" s="7" t="n">
        <v>12700</v>
      </c>
      <c r="I173" s="8" t="n">
        <v>0.2651356993736952</v>
      </c>
    </row>
    <row r="174">
      <c r="A174" s="6" t="inlineStr">
        <is>
          <t>2025-02</t>
        </is>
      </c>
      <c r="B174" s="6" t="inlineStr">
        <is>
          <t>营养补给</t>
        </is>
      </c>
      <c r="C174" s="6" t="inlineStr">
        <is>
          <t>华南</t>
        </is>
      </c>
      <c r="D174" s="6" t="inlineStr">
        <is>
          <t>王芳</t>
        </is>
      </c>
      <c r="E174" s="6" t="inlineStr">
        <is>
          <t>巅峰运动</t>
        </is>
      </c>
      <c r="F174" s="7" t="n">
        <v>41500</v>
      </c>
      <c r="G174" s="7" t="n">
        <v>31900</v>
      </c>
      <c r="H174" s="7" t="n">
        <v>9600</v>
      </c>
      <c r="I174" s="8" t="n">
        <v>0.2313253012048193</v>
      </c>
    </row>
    <row r="175">
      <c r="A175" s="6" t="inlineStr">
        <is>
          <t>2025-02</t>
        </is>
      </c>
      <c r="B175" s="6" t="inlineStr">
        <is>
          <t>营养补给</t>
        </is>
      </c>
      <c r="C175" s="6" t="inlineStr">
        <is>
          <t>华南</t>
        </is>
      </c>
      <c r="D175" s="6" t="inlineStr">
        <is>
          <t>刘强</t>
        </is>
      </c>
      <c r="E175" s="6" t="inlineStr">
        <is>
          <t>风云篮球馆</t>
        </is>
      </c>
      <c r="F175" s="7" t="n">
        <v>41100</v>
      </c>
      <c r="G175" s="7" t="n">
        <v>30700</v>
      </c>
      <c r="H175" s="7" t="n">
        <v>10400</v>
      </c>
      <c r="I175" s="8" t="n">
        <v>0.2530413625304136</v>
      </c>
    </row>
    <row r="176">
      <c r="A176" s="6" t="inlineStr">
        <is>
          <t>2025-02</t>
        </is>
      </c>
      <c r="B176" s="6" t="inlineStr">
        <is>
          <t>营养补给</t>
        </is>
      </c>
      <c r="C176" s="6" t="inlineStr">
        <is>
          <t>华南</t>
        </is>
      </c>
      <c r="D176" s="6" t="inlineStr">
        <is>
          <t>陈静</t>
        </is>
      </c>
      <c r="E176" s="6" t="inlineStr">
        <is>
          <t>领跑体育</t>
        </is>
      </c>
      <c r="F176" s="7" t="n">
        <v>40200</v>
      </c>
      <c r="G176" s="7" t="n">
        <v>30000</v>
      </c>
      <c r="H176" s="7" t="n">
        <v>10200</v>
      </c>
      <c r="I176" s="8" t="n">
        <v>0.2537313432835821</v>
      </c>
    </row>
    <row r="177">
      <c r="A177" s="6" t="inlineStr">
        <is>
          <t>2025-02</t>
        </is>
      </c>
      <c r="B177" s="6" t="inlineStr">
        <is>
          <t>营养补给</t>
        </is>
      </c>
      <c r="C177" s="6" t="inlineStr">
        <is>
          <t>西部</t>
        </is>
      </c>
      <c r="D177" s="6" t="inlineStr">
        <is>
          <t>张伟</t>
        </is>
      </c>
      <c r="E177" s="6" t="inlineStr">
        <is>
          <t>卓越体能训练营</t>
        </is>
      </c>
      <c r="F177" s="7" t="n">
        <v>24900</v>
      </c>
      <c r="G177" s="7" t="n">
        <v>18600</v>
      </c>
      <c r="H177" s="7" t="n">
        <v>6300</v>
      </c>
      <c r="I177" s="8" t="n">
        <v>0.2530120481927711</v>
      </c>
    </row>
    <row r="178">
      <c r="A178" s="6" t="inlineStr">
        <is>
          <t>2025-02</t>
        </is>
      </c>
      <c r="B178" s="6" t="inlineStr">
        <is>
          <t>营养补给</t>
        </is>
      </c>
      <c r="C178" s="6" t="inlineStr">
        <is>
          <t>西部</t>
        </is>
      </c>
      <c r="D178" s="6" t="inlineStr">
        <is>
          <t>李娜</t>
        </is>
      </c>
      <c r="E178" s="6" t="inlineStr">
        <is>
          <t>茁长少儿体适能</t>
        </is>
      </c>
      <c r="F178" s="7" t="n">
        <v>30000</v>
      </c>
      <c r="G178" s="7" t="n">
        <v>23000</v>
      </c>
      <c r="H178" s="7" t="n">
        <v>7000</v>
      </c>
      <c r="I178" s="8" t="n">
        <v>0.2333333333333333</v>
      </c>
    </row>
    <row r="179">
      <c r="A179" s="6" t="inlineStr">
        <is>
          <t>2025-02</t>
        </is>
      </c>
      <c r="B179" s="6" t="inlineStr">
        <is>
          <t>营养补给</t>
        </is>
      </c>
      <c r="C179" s="6" t="inlineStr">
        <is>
          <t>西部</t>
        </is>
      </c>
      <c r="D179" s="6" t="inlineStr">
        <is>
          <t>王芳</t>
        </is>
      </c>
      <c r="E179" s="6" t="inlineStr">
        <is>
          <t>强体体育</t>
        </is>
      </c>
      <c r="F179" s="7" t="n">
        <v>27500</v>
      </c>
      <c r="G179" s="7" t="n">
        <v>20900</v>
      </c>
      <c r="H179" s="7" t="n">
        <v>6600</v>
      </c>
      <c r="I179" s="8" t="n">
        <v>0.24</v>
      </c>
    </row>
    <row r="180">
      <c r="A180" s="6" t="inlineStr">
        <is>
          <t>2025-02</t>
        </is>
      </c>
      <c r="B180" s="6" t="inlineStr">
        <is>
          <t>营养补给</t>
        </is>
      </c>
      <c r="C180" s="6" t="inlineStr">
        <is>
          <t>西部</t>
        </is>
      </c>
      <c r="D180" s="6" t="inlineStr">
        <is>
          <t>刘强</t>
        </is>
      </c>
      <c r="E180" s="6" t="inlineStr">
        <is>
          <t>星跃体育</t>
        </is>
      </c>
      <c r="F180" s="7" t="n">
        <v>28700</v>
      </c>
      <c r="G180" s="7" t="n">
        <v>21100</v>
      </c>
      <c r="H180" s="7" t="n">
        <v>7600</v>
      </c>
      <c r="I180" s="8" t="n">
        <v>0.264808362369338</v>
      </c>
    </row>
    <row r="181">
      <c r="A181" s="6" t="inlineStr">
        <is>
          <t>2025-02</t>
        </is>
      </c>
      <c r="B181" s="6" t="inlineStr">
        <is>
          <t>营养补给</t>
        </is>
      </c>
      <c r="C181" s="6" t="inlineStr">
        <is>
          <t>西部</t>
        </is>
      </c>
      <c r="D181" s="6" t="inlineStr">
        <is>
          <t>陈静</t>
        </is>
      </c>
      <c r="E181" s="6" t="inlineStr">
        <is>
          <t>锋行体育</t>
        </is>
      </c>
      <c r="F181" s="7" t="n">
        <v>25600</v>
      </c>
      <c r="G181" s="7" t="n">
        <v>18700</v>
      </c>
      <c r="H181" s="7" t="n">
        <v>6900</v>
      </c>
      <c r="I181" s="8" t="n">
        <v>0.26953125</v>
      </c>
    </row>
    <row r="182">
      <c r="A182" s="6" t="inlineStr">
        <is>
          <t>2025-02</t>
        </is>
      </c>
      <c r="B182" s="6" t="inlineStr">
        <is>
          <t>智能穿戴</t>
        </is>
      </c>
      <c r="C182" s="6" t="inlineStr">
        <is>
          <t>华东</t>
        </is>
      </c>
      <c r="D182" s="6" t="inlineStr">
        <is>
          <t>张伟</t>
        </is>
      </c>
      <c r="E182" s="6" t="inlineStr">
        <is>
          <t>智练体育</t>
        </is>
      </c>
      <c r="F182" s="7" t="n">
        <v>75100</v>
      </c>
      <c r="G182" s="7" t="n">
        <v>47300</v>
      </c>
      <c r="H182" s="7" t="n">
        <v>27800</v>
      </c>
      <c r="I182" s="8" t="n">
        <v>0.3701731025299601</v>
      </c>
    </row>
    <row r="183">
      <c r="A183" s="6" t="inlineStr">
        <is>
          <t>2025-02</t>
        </is>
      </c>
      <c r="B183" s="6" t="inlineStr">
        <is>
          <t>智能穿戴</t>
        </is>
      </c>
      <c r="C183" s="6" t="inlineStr">
        <is>
          <t>华东</t>
        </is>
      </c>
      <c r="D183" s="6" t="inlineStr">
        <is>
          <t>李娜</t>
        </is>
      </c>
      <c r="E183" s="6" t="inlineStr">
        <is>
          <t>跃动少儿运动馆</t>
        </is>
      </c>
      <c r="F183" s="7" t="n">
        <v>78600</v>
      </c>
      <c r="G183" s="7" t="n">
        <v>48700</v>
      </c>
      <c r="H183" s="7" t="n">
        <v>29900</v>
      </c>
      <c r="I183" s="8" t="n">
        <v>0.3804071246819338</v>
      </c>
    </row>
    <row r="184">
      <c r="A184" s="6" t="inlineStr">
        <is>
          <t>2025-02</t>
        </is>
      </c>
      <c r="B184" s="6" t="inlineStr">
        <is>
          <t>智能穿戴</t>
        </is>
      </c>
      <c r="C184" s="6" t="inlineStr">
        <is>
          <t>华东</t>
        </is>
      </c>
      <c r="D184" s="6" t="inlineStr">
        <is>
          <t>王芳</t>
        </is>
      </c>
      <c r="E184" s="6" t="inlineStr">
        <is>
          <t>康威运动商城</t>
        </is>
      </c>
      <c r="F184" s="7" t="n">
        <v>65600</v>
      </c>
      <c r="G184" s="7" t="n">
        <v>41200</v>
      </c>
      <c r="H184" s="7" t="n">
        <v>24400</v>
      </c>
      <c r="I184" s="8" t="n">
        <v>0.3719512195121951</v>
      </c>
    </row>
    <row r="185">
      <c r="A185" s="6" t="inlineStr">
        <is>
          <t>2025-02</t>
        </is>
      </c>
      <c r="B185" s="6" t="inlineStr">
        <is>
          <t>智能穿戴</t>
        </is>
      </c>
      <c r="C185" s="6" t="inlineStr">
        <is>
          <t>华东</t>
        </is>
      </c>
      <c r="D185" s="6" t="inlineStr">
        <is>
          <t>刘强</t>
        </is>
      </c>
      <c r="E185" s="6" t="inlineStr">
        <is>
          <t>健将体育</t>
        </is>
      </c>
      <c r="F185" s="7" t="n">
        <v>60800</v>
      </c>
      <c r="G185" s="7" t="n">
        <v>38100</v>
      </c>
      <c r="H185" s="7" t="n">
        <v>22700</v>
      </c>
      <c r="I185" s="8" t="n">
        <v>0.3733552631578947</v>
      </c>
    </row>
    <row r="186">
      <c r="A186" s="6" t="inlineStr">
        <is>
          <t>2025-02</t>
        </is>
      </c>
      <c r="B186" s="6" t="inlineStr">
        <is>
          <t>智能穿戴</t>
        </is>
      </c>
      <c r="C186" s="6" t="inlineStr">
        <is>
          <t>华东</t>
        </is>
      </c>
      <c r="D186" s="6" t="inlineStr">
        <is>
          <t>陈静</t>
        </is>
      </c>
      <c r="E186" s="6" t="inlineStr">
        <is>
          <t>冠军之路俱乐部</t>
        </is>
      </c>
      <c r="F186" s="7" t="n">
        <v>72800</v>
      </c>
      <c r="G186" s="7" t="n">
        <v>43900</v>
      </c>
      <c r="H186" s="7" t="n">
        <v>28900</v>
      </c>
      <c r="I186" s="8" t="n">
        <v>0.396978021978022</v>
      </c>
    </row>
    <row r="187">
      <c r="A187" s="6" t="inlineStr">
        <is>
          <t>2025-02</t>
        </is>
      </c>
      <c r="B187" s="6" t="inlineStr">
        <is>
          <t>智能穿戴</t>
        </is>
      </c>
      <c r="C187" s="6" t="inlineStr">
        <is>
          <t>华北</t>
        </is>
      </c>
      <c r="D187" s="6" t="inlineStr">
        <is>
          <t>张伟</t>
        </is>
      </c>
      <c r="E187" s="6" t="inlineStr">
        <is>
          <t>活力无限健身</t>
        </is>
      </c>
      <c r="F187" s="7" t="n">
        <v>53800</v>
      </c>
      <c r="G187" s="7" t="n">
        <v>33000</v>
      </c>
      <c r="H187" s="7" t="n">
        <v>20800</v>
      </c>
      <c r="I187" s="8" t="n">
        <v>0.3866171003717472</v>
      </c>
    </row>
    <row r="188">
      <c r="A188" s="6" t="inlineStr">
        <is>
          <t>2025-02</t>
        </is>
      </c>
      <c r="B188" s="6" t="inlineStr">
        <is>
          <t>智能穿戴</t>
        </is>
      </c>
      <c r="C188" s="6" t="inlineStr">
        <is>
          <t>华北</t>
        </is>
      </c>
      <c r="D188" s="6" t="inlineStr">
        <is>
          <t>李娜</t>
        </is>
      </c>
      <c r="E188" s="6" t="inlineStr">
        <is>
          <t>康威运动商城</t>
        </is>
      </c>
      <c r="F188" s="7" t="n">
        <v>51300</v>
      </c>
      <c r="G188" s="7" t="n">
        <v>32900</v>
      </c>
      <c r="H188" s="7" t="n">
        <v>18400</v>
      </c>
      <c r="I188" s="8" t="n">
        <v>0.3586744639376218</v>
      </c>
    </row>
    <row r="189">
      <c r="A189" s="6" t="inlineStr">
        <is>
          <t>2025-02</t>
        </is>
      </c>
      <c r="B189" s="6" t="inlineStr">
        <is>
          <t>智能穿戴</t>
        </is>
      </c>
      <c r="C189" s="6" t="inlineStr">
        <is>
          <t>华北</t>
        </is>
      </c>
      <c r="D189" s="6" t="inlineStr">
        <is>
          <t>王芳</t>
        </is>
      </c>
      <c r="E189" s="6" t="inlineStr">
        <is>
          <t>跃动少儿运动馆</t>
        </is>
      </c>
      <c r="F189" s="7" t="n">
        <v>64900</v>
      </c>
      <c r="G189" s="7" t="n">
        <v>41000</v>
      </c>
      <c r="H189" s="7" t="n">
        <v>23900</v>
      </c>
      <c r="I189" s="8" t="n">
        <v>0.3682588597842835</v>
      </c>
    </row>
    <row r="190">
      <c r="A190" s="6" t="inlineStr">
        <is>
          <t>2025-02</t>
        </is>
      </c>
      <c r="B190" s="6" t="inlineStr">
        <is>
          <t>智能穿戴</t>
        </is>
      </c>
      <c r="C190" s="6" t="inlineStr">
        <is>
          <t>华北</t>
        </is>
      </c>
      <c r="D190" s="6" t="inlineStr">
        <is>
          <t>刘强</t>
        </is>
      </c>
      <c r="E190" s="6" t="inlineStr">
        <is>
          <t>篮途体育文化</t>
        </is>
      </c>
      <c r="F190" s="7" t="n">
        <v>47000</v>
      </c>
      <c r="G190" s="7" t="n">
        <v>29900</v>
      </c>
      <c r="H190" s="7" t="n">
        <v>17100</v>
      </c>
      <c r="I190" s="8" t="n">
        <v>0.3638297872340426</v>
      </c>
    </row>
    <row r="191">
      <c r="A191" s="6" t="inlineStr">
        <is>
          <t>2025-02</t>
        </is>
      </c>
      <c r="B191" s="6" t="inlineStr">
        <is>
          <t>智能穿戴</t>
        </is>
      </c>
      <c r="C191" s="6" t="inlineStr">
        <is>
          <t>华北</t>
        </is>
      </c>
      <c r="D191" s="6" t="inlineStr">
        <is>
          <t>陈静</t>
        </is>
      </c>
      <c r="E191" s="6" t="inlineStr">
        <is>
          <t>星跃体育</t>
        </is>
      </c>
      <c r="F191" s="7" t="n">
        <v>54000</v>
      </c>
      <c r="G191" s="7" t="n">
        <v>32000</v>
      </c>
      <c r="H191" s="7" t="n">
        <v>22000</v>
      </c>
      <c r="I191" s="8" t="n">
        <v>0.4074074074074074</v>
      </c>
    </row>
    <row r="192">
      <c r="A192" s="6" t="inlineStr">
        <is>
          <t>2025-02</t>
        </is>
      </c>
      <c r="B192" s="6" t="inlineStr">
        <is>
          <t>智能穿戴</t>
        </is>
      </c>
      <c r="C192" s="6" t="inlineStr">
        <is>
          <t>华南</t>
        </is>
      </c>
      <c r="D192" s="6" t="inlineStr">
        <is>
          <t>张伟</t>
        </is>
      </c>
      <c r="E192" s="6" t="inlineStr">
        <is>
          <t>巅峰运动</t>
        </is>
      </c>
      <c r="F192" s="7" t="n">
        <v>66600</v>
      </c>
      <c r="G192" s="7" t="n">
        <v>40200</v>
      </c>
      <c r="H192" s="7" t="n">
        <v>26400</v>
      </c>
      <c r="I192" s="8" t="n">
        <v>0.3963963963963964</v>
      </c>
    </row>
    <row r="193">
      <c r="A193" s="6" t="inlineStr">
        <is>
          <t>2025-02</t>
        </is>
      </c>
      <c r="B193" s="6" t="inlineStr">
        <is>
          <t>智能穿戴</t>
        </is>
      </c>
      <c r="C193" s="6" t="inlineStr">
        <is>
          <t>华南</t>
        </is>
      </c>
      <c r="D193" s="6" t="inlineStr">
        <is>
          <t>李娜</t>
        </is>
      </c>
      <c r="E193" s="6" t="inlineStr">
        <is>
          <t>成长树运动馆</t>
        </is>
      </c>
      <c r="F193" s="7" t="n">
        <v>66400</v>
      </c>
      <c r="G193" s="7" t="n">
        <v>40400</v>
      </c>
      <c r="H193" s="7" t="n">
        <v>26000</v>
      </c>
      <c r="I193" s="8" t="n">
        <v>0.3915662650602409</v>
      </c>
    </row>
    <row r="194">
      <c r="A194" s="6" t="inlineStr">
        <is>
          <t>2025-02</t>
        </is>
      </c>
      <c r="B194" s="6" t="inlineStr">
        <is>
          <t>智能穿戴</t>
        </is>
      </c>
      <c r="C194" s="6" t="inlineStr">
        <is>
          <t>华南</t>
        </is>
      </c>
      <c r="D194" s="6" t="inlineStr">
        <is>
          <t>王芳</t>
        </is>
      </c>
      <c r="E194" s="6" t="inlineStr">
        <is>
          <t>茁长少儿体适能</t>
        </is>
      </c>
      <c r="F194" s="7" t="n">
        <v>57200</v>
      </c>
      <c r="G194" s="7" t="n">
        <v>34300</v>
      </c>
      <c r="H194" s="7" t="n">
        <v>22900</v>
      </c>
      <c r="I194" s="8" t="n">
        <v>0.4003496503496504</v>
      </c>
    </row>
    <row r="195">
      <c r="A195" s="6" t="inlineStr">
        <is>
          <t>2025-02</t>
        </is>
      </c>
      <c r="B195" s="6" t="inlineStr">
        <is>
          <t>智能穿戴</t>
        </is>
      </c>
      <c r="C195" s="6" t="inlineStr">
        <is>
          <t>华南</t>
        </is>
      </c>
      <c r="D195" s="6" t="inlineStr">
        <is>
          <t>刘强</t>
        </is>
      </c>
      <c r="E195" s="6" t="inlineStr">
        <is>
          <t>活力无限健身</t>
        </is>
      </c>
      <c r="F195" s="7" t="n">
        <v>62800</v>
      </c>
      <c r="G195" s="7" t="n">
        <v>38100</v>
      </c>
      <c r="H195" s="7" t="n">
        <v>24700</v>
      </c>
      <c r="I195" s="8" t="n">
        <v>0.393312101910828</v>
      </c>
    </row>
    <row r="196">
      <c r="A196" s="6" t="inlineStr">
        <is>
          <t>2025-02</t>
        </is>
      </c>
      <c r="B196" s="6" t="inlineStr">
        <is>
          <t>智能穿戴</t>
        </is>
      </c>
      <c r="C196" s="6" t="inlineStr">
        <is>
          <t>华南</t>
        </is>
      </c>
      <c r="D196" s="6" t="inlineStr">
        <is>
          <t>陈静</t>
        </is>
      </c>
      <c r="E196" s="6" t="inlineStr">
        <is>
          <t>飞跃训练营</t>
        </is>
      </c>
      <c r="F196" s="7" t="n">
        <v>56100</v>
      </c>
      <c r="G196" s="7" t="n">
        <v>33600</v>
      </c>
      <c r="H196" s="7" t="n">
        <v>22500</v>
      </c>
      <c r="I196" s="8" t="n">
        <v>0.4010695187165775</v>
      </c>
    </row>
    <row r="197">
      <c r="A197" s="6" t="inlineStr">
        <is>
          <t>2025-02</t>
        </is>
      </c>
      <c r="B197" s="6" t="inlineStr">
        <is>
          <t>智能穿戴</t>
        </is>
      </c>
      <c r="C197" s="6" t="inlineStr">
        <is>
          <t>西部</t>
        </is>
      </c>
      <c r="D197" s="6" t="inlineStr">
        <is>
          <t>张伟</t>
        </is>
      </c>
      <c r="E197" s="6" t="inlineStr">
        <is>
          <t>风尚健身</t>
        </is>
      </c>
      <c r="F197" s="7" t="n">
        <v>38400</v>
      </c>
      <c r="G197" s="7" t="n">
        <v>24400</v>
      </c>
      <c r="H197" s="7" t="n">
        <v>14000</v>
      </c>
      <c r="I197" s="8" t="n">
        <v>0.3645833333333333</v>
      </c>
    </row>
    <row r="198">
      <c r="A198" s="6" t="inlineStr">
        <is>
          <t>2025-02</t>
        </is>
      </c>
      <c r="B198" s="6" t="inlineStr">
        <is>
          <t>智能穿戴</t>
        </is>
      </c>
      <c r="C198" s="6" t="inlineStr">
        <is>
          <t>西部</t>
        </is>
      </c>
      <c r="D198" s="6" t="inlineStr">
        <is>
          <t>李娜</t>
        </is>
      </c>
      <c r="E198" s="6" t="inlineStr">
        <is>
          <t>天天向上健身</t>
        </is>
      </c>
      <c r="F198" s="7" t="n">
        <v>42900</v>
      </c>
      <c r="G198" s="7" t="n">
        <v>27900</v>
      </c>
      <c r="H198" s="7" t="n">
        <v>15000</v>
      </c>
      <c r="I198" s="8" t="n">
        <v>0.3496503496503496</v>
      </c>
    </row>
    <row r="199">
      <c r="A199" s="6" t="inlineStr">
        <is>
          <t>2025-02</t>
        </is>
      </c>
      <c r="B199" s="6" t="inlineStr">
        <is>
          <t>智能穿戴</t>
        </is>
      </c>
      <c r="C199" s="6" t="inlineStr">
        <is>
          <t>西部</t>
        </is>
      </c>
      <c r="D199" s="6" t="inlineStr">
        <is>
          <t>王芳</t>
        </is>
      </c>
      <c r="E199" s="6" t="inlineStr">
        <is>
          <t>星跃体育</t>
        </is>
      </c>
      <c r="F199" s="7" t="n">
        <v>40800</v>
      </c>
      <c r="G199" s="7" t="n">
        <v>24700</v>
      </c>
      <c r="H199" s="7" t="n">
        <v>16100</v>
      </c>
      <c r="I199" s="8" t="n">
        <v>0.3946078431372549</v>
      </c>
    </row>
    <row r="200">
      <c r="A200" s="6" t="inlineStr">
        <is>
          <t>2025-02</t>
        </is>
      </c>
      <c r="B200" s="6" t="inlineStr">
        <is>
          <t>智能穿戴</t>
        </is>
      </c>
      <c r="C200" s="6" t="inlineStr">
        <is>
          <t>西部</t>
        </is>
      </c>
      <c r="D200" s="6" t="inlineStr">
        <is>
          <t>刘强</t>
        </is>
      </c>
      <c r="E200" s="6" t="inlineStr">
        <is>
          <t>锐动体育用品</t>
        </is>
      </c>
      <c r="F200" s="7" t="n">
        <v>33100</v>
      </c>
      <c r="G200" s="7" t="n">
        <v>21200</v>
      </c>
      <c r="H200" s="7" t="n">
        <v>11900</v>
      </c>
      <c r="I200" s="8" t="n">
        <v>0.3595166163141994</v>
      </c>
    </row>
    <row r="201">
      <c r="A201" s="6" t="inlineStr">
        <is>
          <t>2025-02</t>
        </is>
      </c>
      <c r="B201" s="6" t="inlineStr">
        <is>
          <t>智能穿戴</t>
        </is>
      </c>
      <c r="C201" s="6" t="inlineStr">
        <is>
          <t>西部</t>
        </is>
      </c>
      <c r="D201" s="6" t="inlineStr">
        <is>
          <t>陈静</t>
        </is>
      </c>
      <c r="E201" s="6" t="inlineStr">
        <is>
          <t>小飞侠运动俱乐部</t>
        </is>
      </c>
      <c r="F201" s="7" t="n">
        <v>37600</v>
      </c>
      <c r="G201" s="7" t="n">
        <v>22300</v>
      </c>
      <c r="H201" s="7" t="n">
        <v>15300</v>
      </c>
      <c r="I201" s="8" t="n">
        <v>0.4069148936170213</v>
      </c>
    </row>
    <row r="202">
      <c r="A202" s="6" t="inlineStr">
        <is>
          <t>2025-03</t>
        </is>
      </c>
      <c r="B202" s="6" t="inlineStr">
        <is>
          <t>篮球装备</t>
        </is>
      </c>
      <c r="C202" s="6" t="inlineStr">
        <is>
          <t>华东</t>
        </is>
      </c>
      <c r="D202" s="6" t="inlineStr">
        <is>
          <t>张伟</t>
        </is>
      </c>
      <c r="E202" s="6" t="inlineStr">
        <is>
          <t>卓越体能训练营</t>
        </is>
      </c>
      <c r="F202" s="7" t="n">
        <v>95000</v>
      </c>
      <c r="G202" s="7" t="n">
        <v>63300</v>
      </c>
      <c r="H202" s="7" t="n">
        <v>31700</v>
      </c>
      <c r="I202" s="8" t="n">
        <v>0.3336842105263158</v>
      </c>
    </row>
    <row r="203">
      <c r="A203" s="6" t="inlineStr">
        <is>
          <t>2025-03</t>
        </is>
      </c>
      <c r="B203" s="6" t="inlineStr">
        <is>
          <t>篮球装备</t>
        </is>
      </c>
      <c r="C203" s="6" t="inlineStr">
        <is>
          <t>华东</t>
        </is>
      </c>
      <c r="D203" s="6" t="inlineStr">
        <is>
          <t>李娜</t>
        </is>
      </c>
      <c r="E203" s="6" t="inlineStr">
        <is>
          <t>康威运动商城</t>
        </is>
      </c>
      <c r="F203" s="7" t="n">
        <v>99400</v>
      </c>
      <c r="G203" s="7" t="n">
        <v>64100</v>
      </c>
      <c r="H203" s="7" t="n">
        <v>35300</v>
      </c>
      <c r="I203" s="8" t="n">
        <v>0.3551307847082495</v>
      </c>
    </row>
    <row r="204">
      <c r="A204" s="6" t="inlineStr">
        <is>
          <t>2025-03</t>
        </is>
      </c>
      <c r="B204" s="6" t="inlineStr">
        <is>
          <t>篮球装备</t>
        </is>
      </c>
      <c r="C204" s="6" t="inlineStr">
        <is>
          <t>华东</t>
        </is>
      </c>
      <c r="D204" s="6" t="inlineStr">
        <is>
          <t>王芳</t>
        </is>
      </c>
      <c r="E204" s="6" t="inlineStr">
        <is>
          <t>纵横运动</t>
        </is>
      </c>
      <c r="F204" s="7" t="n">
        <v>107000</v>
      </c>
      <c r="G204" s="7" t="n">
        <v>70600</v>
      </c>
      <c r="H204" s="7" t="n">
        <v>36400</v>
      </c>
      <c r="I204" s="8" t="n">
        <v>0.3401869158878505</v>
      </c>
    </row>
    <row r="205">
      <c r="A205" s="6" t="inlineStr">
        <is>
          <t>2025-03</t>
        </is>
      </c>
      <c r="B205" s="6" t="inlineStr">
        <is>
          <t>篮球装备</t>
        </is>
      </c>
      <c r="C205" s="6" t="inlineStr">
        <is>
          <t>华东</t>
        </is>
      </c>
      <c r="D205" s="6" t="inlineStr">
        <is>
          <t>刘强</t>
        </is>
      </c>
      <c r="E205" s="6" t="inlineStr">
        <is>
          <t>小小运动家</t>
        </is>
      </c>
      <c r="F205" s="7" t="n">
        <v>101600</v>
      </c>
      <c r="G205" s="7" t="n">
        <v>65400</v>
      </c>
      <c r="H205" s="7" t="n">
        <v>36200</v>
      </c>
      <c r="I205" s="8" t="n">
        <v>0.3562992125984252</v>
      </c>
    </row>
    <row r="206">
      <c r="A206" s="6" t="inlineStr">
        <is>
          <t>2025-03</t>
        </is>
      </c>
      <c r="B206" s="6" t="inlineStr">
        <is>
          <t>篮球装备</t>
        </is>
      </c>
      <c r="C206" s="6" t="inlineStr">
        <is>
          <t>华东</t>
        </is>
      </c>
      <c r="D206" s="6" t="inlineStr">
        <is>
          <t>陈静</t>
        </is>
      </c>
      <c r="E206" s="6" t="inlineStr">
        <is>
          <t>强体体育</t>
        </is>
      </c>
      <c r="F206" s="7" t="n">
        <v>104200</v>
      </c>
      <c r="G206" s="7" t="n">
        <v>70600</v>
      </c>
      <c r="H206" s="7" t="n">
        <v>33600</v>
      </c>
      <c r="I206" s="8" t="n">
        <v>0.3224568138195777</v>
      </c>
    </row>
    <row r="207">
      <c r="A207" s="6" t="inlineStr">
        <is>
          <t>2025-03</t>
        </is>
      </c>
      <c r="B207" s="6" t="inlineStr">
        <is>
          <t>篮球装备</t>
        </is>
      </c>
      <c r="C207" s="6" t="inlineStr">
        <is>
          <t>华北</t>
        </is>
      </c>
      <c r="D207" s="6" t="inlineStr">
        <is>
          <t>张伟</t>
        </is>
      </c>
      <c r="E207" s="6" t="inlineStr">
        <is>
          <t>环宇体育</t>
        </is>
      </c>
      <c r="F207" s="7" t="n">
        <v>78400</v>
      </c>
      <c r="G207" s="7" t="n">
        <v>48900</v>
      </c>
      <c r="H207" s="7" t="n">
        <v>29500</v>
      </c>
      <c r="I207" s="8" t="n">
        <v>0.3762755102040816</v>
      </c>
    </row>
    <row r="208">
      <c r="A208" s="6" t="inlineStr">
        <is>
          <t>2025-03</t>
        </is>
      </c>
      <c r="B208" s="6" t="inlineStr">
        <is>
          <t>篮球装备</t>
        </is>
      </c>
      <c r="C208" s="6" t="inlineStr">
        <is>
          <t>华北</t>
        </is>
      </c>
      <c r="D208" s="6" t="inlineStr">
        <is>
          <t>李娜</t>
        </is>
      </c>
      <c r="E208" s="6" t="inlineStr">
        <is>
          <t>锐动体育用品</t>
        </is>
      </c>
      <c r="F208" s="7" t="n">
        <v>85600</v>
      </c>
      <c r="G208" s="7" t="n">
        <v>58000</v>
      </c>
      <c r="H208" s="7" t="n">
        <v>27600</v>
      </c>
      <c r="I208" s="8" t="n">
        <v>0.3224299065420561</v>
      </c>
    </row>
    <row r="209">
      <c r="A209" s="6" t="inlineStr">
        <is>
          <t>2025-03</t>
        </is>
      </c>
      <c r="B209" s="6" t="inlineStr">
        <is>
          <t>篮球装备</t>
        </is>
      </c>
      <c r="C209" s="6" t="inlineStr">
        <is>
          <t>华北</t>
        </is>
      </c>
      <c r="D209" s="6" t="inlineStr">
        <is>
          <t>王芳</t>
        </is>
      </c>
      <c r="E209" s="6" t="inlineStr">
        <is>
          <t>启航健身中心</t>
        </is>
      </c>
      <c r="F209" s="7" t="n">
        <v>83000</v>
      </c>
      <c r="G209" s="7" t="n">
        <v>55500</v>
      </c>
      <c r="H209" s="7" t="n">
        <v>27500</v>
      </c>
      <c r="I209" s="8" t="n">
        <v>0.3313253012048193</v>
      </c>
    </row>
    <row r="210">
      <c r="A210" s="6" t="inlineStr">
        <is>
          <t>2025-03</t>
        </is>
      </c>
      <c r="B210" s="6" t="inlineStr">
        <is>
          <t>篮球装备</t>
        </is>
      </c>
      <c r="C210" s="6" t="inlineStr">
        <is>
          <t>华北</t>
        </is>
      </c>
      <c r="D210" s="6" t="inlineStr">
        <is>
          <t>刘强</t>
        </is>
      </c>
      <c r="E210" s="6" t="inlineStr">
        <is>
          <t>强体体育</t>
        </is>
      </c>
      <c r="F210" s="7" t="n">
        <v>65300</v>
      </c>
      <c r="G210" s="7" t="n">
        <v>41800</v>
      </c>
      <c r="H210" s="7" t="n">
        <v>23500</v>
      </c>
      <c r="I210" s="8" t="n">
        <v>0.3598774885145483</v>
      </c>
    </row>
    <row r="211">
      <c r="A211" s="6" t="inlineStr">
        <is>
          <t>2025-03</t>
        </is>
      </c>
      <c r="B211" s="6" t="inlineStr">
        <is>
          <t>篮球装备</t>
        </is>
      </c>
      <c r="C211" s="6" t="inlineStr">
        <is>
          <t>华北</t>
        </is>
      </c>
      <c r="D211" s="6" t="inlineStr">
        <is>
          <t>陈静</t>
        </is>
      </c>
      <c r="E211" s="6" t="inlineStr">
        <is>
          <t>超能体育</t>
        </is>
      </c>
      <c r="F211" s="7" t="n">
        <v>65000</v>
      </c>
      <c r="G211" s="7" t="n">
        <v>41700</v>
      </c>
      <c r="H211" s="7" t="n">
        <v>23300</v>
      </c>
      <c r="I211" s="8" t="n">
        <v>0.3584615384615384</v>
      </c>
    </row>
    <row r="212">
      <c r="A212" s="6" t="inlineStr">
        <is>
          <t>2025-03</t>
        </is>
      </c>
      <c r="B212" s="6" t="inlineStr">
        <is>
          <t>篮球装备</t>
        </is>
      </c>
      <c r="C212" s="6" t="inlineStr">
        <is>
          <t>华南</t>
        </is>
      </c>
      <c r="D212" s="6" t="inlineStr">
        <is>
          <t>张伟</t>
        </is>
      </c>
      <c r="E212" s="6" t="inlineStr">
        <is>
          <t>小飞侠运动俱乐部</t>
        </is>
      </c>
      <c r="F212" s="7" t="n">
        <v>79200</v>
      </c>
      <c r="G212" s="7" t="n">
        <v>50000</v>
      </c>
      <c r="H212" s="7" t="n">
        <v>29200</v>
      </c>
      <c r="I212" s="8" t="n">
        <v>0.3686868686868687</v>
      </c>
    </row>
    <row r="213">
      <c r="A213" s="6" t="inlineStr">
        <is>
          <t>2025-03</t>
        </is>
      </c>
      <c r="B213" s="6" t="inlineStr">
        <is>
          <t>篮球装备</t>
        </is>
      </c>
      <c r="C213" s="6" t="inlineStr">
        <is>
          <t>华南</t>
        </is>
      </c>
      <c r="D213" s="6" t="inlineStr">
        <is>
          <t>李娜</t>
        </is>
      </c>
      <c r="E213" s="6" t="inlineStr">
        <is>
          <t>童行运动馆</t>
        </is>
      </c>
      <c r="F213" s="7" t="n">
        <v>91000</v>
      </c>
      <c r="G213" s="7" t="n">
        <v>57000</v>
      </c>
      <c r="H213" s="7" t="n">
        <v>34000</v>
      </c>
      <c r="I213" s="8" t="n">
        <v>0.3736263736263736</v>
      </c>
    </row>
    <row r="214">
      <c r="A214" s="6" t="inlineStr">
        <is>
          <t>2025-03</t>
        </is>
      </c>
      <c r="B214" s="6" t="inlineStr">
        <is>
          <t>篮球装备</t>
        </is>
      </c>
      <c r="C214" s="6" t="inlineStr">
        <is>
          <t>华南</t>
        </is>
      </c>
      <c r="D214" s="6" t="inlineStr">
        <is>
          <t>王芳</t>
        </is>
      </c>
      <c r="E214" s="6" t="inlineStr">
        <is>
          <t>智练体育</t>
        </is>
      </c>
      <c r="F214" s="7" t="n">
        <v>86100</v>
      </c>
      <c r="G214" s="7" t="n">
        <v>56000</v>
      </c>
      <c r="H214" s="7" t="n">
        <v>30100</v>
      </c>
      <c r="I214" s="8" t="n">
        <v>0.3495934959349594</v>
      </c>
    </row>
    <row r="215">
      <c r="A215" s="6" t="inlineStr">
        <is>
          <t>2025-03</t>
        </is>
      </c>
      <c r="B215" s="6" t="inlineStr">
        <is>
          <t>篮球装备</t>
        </is>
      </c>
      <c r="C215" s="6" t="inlineStr">
        <is>
          <t>华南</t>
        </is>
      </c>
      <c r="D215" s="6" t="inlineStr">
        <is>
          <t>刘强</t>
        </is>
      </c>
      <c r="E215" s="6" t="inlineStr">
        <is>
          <t>星跃体育</t>
        </is>
      </c>
      <c r="F215" s="7" t="n">
        <v>75800</v>
      </c>
      <c r="G215" s="7" t="n">
        <v>50600</v>
      </c>
      <c r="H215" s="7" t="n">
        <v>25200</v>
      </c>
      <c r="I215" s="8" t="n">
        <v>0.3324538258575198</v>
      </c>
    </row>
    <row r="216">
      <c r="A216" s="6" t="inlineStr">
        <is>
          <t>2025-03</t>
        </is>
      </c>
      <c r="B216" s="6" t="inlineStr">
        <is>
          <t>篮球装备</t>
        </is>
      </c>
      <c r="C216" s="6" t="inlineStr">
        <is>
          <t>华南</t>
        </is>
      </c>
      <c r="D216" s="6" t="inlineStr">
        <is>
          <t>陈静</t>
        </is>
      </c>
      <c r="E216" s="6" t="inlineStr">
        <is>
          <t>强体体育</t>
        </is>
      </c>
      <c r="F216" s="7" t="n">
        <v>69300</v>
      </c>
      <c r="G216" s="7" t="n">
        <v>44000</v>
      </c>
      <c r="H216" s="7" t="n">
        <v>25300</v>
      </c>
      <c r="I216" s="8" t="n">
        <v>0.3650793650793651</v>
      </c>
    </row>
    <row r="217">
      <c r="A217" s="6" t="inlineStr">
        <is>
          <t>2025-03</t>
        </is>
      </c>
      <c r="B217" s="6" t="inlineStr">
        <is>
          <t>篮球装备</t>
        </is>
      </c>
      <c r="C217" s="6" t="inlineStr">
        <is>
          <t>西部</t>
        </is>
      </c>
      <c r="D217" s="6" t="inlineStr">
        <is>
          <t>张伟</t>
        </is>
      </c>
      <c r="E217" s="6" t="inlineStr">
        <is>
          <t>冠军之路俱乐部</t>
        </is>
      </c>
      <c r="F217" s="7" t="n">
        <v>51400</v>
      </c>
      <c r="G217" s="7" t="n">
        <v>33200</v>
      </c>
      <c r="H217" s="7" t="n">
        <v>18200</v>
      </c>
      <c r="I217" s="8" t="n">
        <v>0.3540856031128405</v>
      </c>
    </row>
    <row r="218">
      <c r="A218" s="6" t="inlineStr">
        <is>
          <t>2025-03</t>
        </is>
      </c>
      <c r="B218" s="6" t="inlineStr">
        <is>
          <t>篮球装备</t>
        </is>
      </c>
      <c r="C218" s="6" t="inlineStr">
        <is>
          <t>西部</t>
        </is>
      </c>
      <c r="D218" s="6" t="inlineStr">
        <is>
          <t>李娜</t>
        </is>
      </c>
      <c r="E218" s="6" t="inlineStr">
        <is>
          <t>健将体育</t>
        </is>
      </c>
      <c r="F218" s="7" t="n">
        <v>50500</v>
      </c>
      <c r="G218" s="7" t="n">
        <v>31800</v>
      </c>
      <c r="H218" s="7" t="n">
        <v>18700</v>
      </c>
      <c r="I218" s="8" t="n">
        <v>0.3702970297029703</v>
      </c>
    </row>
    <row r="219">
      <c r="A219" s="6" t="inlineStr">
        <is>
          <t>2025-03</t>
        </is>
      </c>
      <c r="B219" s="6" t="inlineStr">
        <is>
          <t>篮球装备</t>
        </is>
      </c>
      <c r="C219" s="6" t="inlineStr">
        <is>
          <t>西部</t>
        </is>
      </c>
      <c r="D219" s="6" t="inlineStr">
        <is>
          <t>王芳</t>
        </is>
      </c>
      <c r="E219" s="6" t="inlineStr">
        <is>
          <t>巅峰运动</t>
        </is>
      </c>
      <c r="F219" s="7" t="n">
        <v>56000</v>
      </c>
      <c r="G219" s="7" t="n">
        <v>36200</v>
      </c>
      <c r="H219" s="7" t="n">
        <v>19800</v>
      </c>
      <c r="I219" s="8" t="n">
        <v>0.3535714285714286</v>
      </c>
    </row>
    <row r="220">
      <c r="A220" s="6" t="inlineStr">
        <is>
          <t>2025-03</t>
        </is>
      </c>
      <c r="B220" s="6" t="inlineStr">
        <is>
          <t>篮球装备</t>
        </is>
      </c>
      <c r="C220" s="6" t="inlineStr">
        <is>
          <t>西部</t>
        </is>
      </c>
      <c r="D220" s="6" t="inlineStr">
        <is>
          <t>刘强</t>
        </is>
      </c>
      <c r="E220" s="6" t="inlineStr">
        <is>
          <t>强体体育</t>
        </is>
      </c>
      <c r="F220" s="7" t="n">
        <v>54100</v>
      </c>
      <c r="G220" s="7" t="n">
        <v>36600</v>
      </c>
      <c r="H220" s="7" t="n">
        <v>17500</v>
      </c>
      <c r="I220" s="8" t="n">
        <v>0.3234750462107209</v>
      </c>
    </row>
    <row r="221">
      <c r="A221" s="6" t="inlineStr">
        <is>
          <t>2025-03</t>
        </is>
      </c>
      <c r="B221" s="6" t="inlineStr">
        <is>
          <t>篮球装备</t>
        </is>
      </c>
      <c r="C221" s="6" t="inlineStr">
        <is>
          <t>西部</t>
        </is>
      </c>
      <c r="D221" s="6" t="inlineStr">
        <is>
          <t>陈静</t>
        </is>
      </c>
      <c r="E221" s="6" t="inlineStr">
        <is>
          <t>跃动少儿运动馆</t>
        </is>
      </c>
      <c r="F221" s="7" t="n">
        <v>50500</v>
      </c>
      <c r="G221" s="7" t="n">
        <v>31400</v>
      </c>
      <c r="H221" s="7" t="n">
        <v>19100</v>
      </c>
      <c r="I221" s="8" t="n">
        <v>0.3782178217821782</v>
      </c>
    </row>
    <row r="222">
      <c r="A222" s="6" t="inlineStr">
        <is>
          <t>2025-03</t>
        </is>
      </c>
      <c r="B222" s="6" t="inlineStr">
        <is>
          <t>体适能器材</t>
        </is>
      </c>
      <c r="C222" s="6" t="inlineStr">
        <is>
          <t>华东</t>
        </is>
      </c>
      <c r="D222" s="6" t="inlineStr">
        <is>
          <t>张伟</t>
        </is>
      </c>
      <c r="E222" s="6" t="inlineStr">
        <is>
          <t>小小运动家</t>
        </is>
      </c>
      <c r="F222" s="7" t="n">
        <v>82200</v>
      </c>
      <c r="G222" s="7" t="n">
        <v>57900</v>
      </c>
      <c r="H222" s="7" t="n">
        <v>24300</v>
      </c>
      <c r="I222" s="8" t="n">
        <v>0.2956204379562044</v>
      </c>
    </row>
    <row r="223">
      <c r="A223" s="6" t="inlineStr">
        <is>
          <t>2025-03</t>
        </is>
      </c>
      <c r="B223" s="6" t="inlineStr">
        <is>
          <t>体适能器材</t>
        </is>
      </c>
      <c r="C223" s="6" t="inlineStr">
        <is>
          <t>华东</t>
        </is>
      </c>
      <c r="D223" s="6" t="inlineStr">
        <is>
          <t>李娜</t>
        </is>
      </c>
      <c r="E223" s="6" t="inlineStr">
        <is>
          <t>天天向上健身</t>
        </is>
      </c>
      <c r="F223" s="7" t="n">
        <v>80300</v>
      </c>
      <c r="G223" s="7" t="n">
        <v>55900</v>
      </c>
      <c r="H223" s="7" t="n">
        <v>24400</v>
      </c>
      <c r="I223" s="8" t="n">
        <v>0.3038605230386052</v>
      </c>
    </row>
    <row r="224">
      <c r="A224" s="6" t="inlineStr">
        <is>
          <t>2025-03</t>
        </is>
      </c>
      <c r="B224" s="6" t="inlineStr">
        <is>
          <t>体适能器材</t>
        </is>
      </c>
      <c r="C224" s="6" t="inlineStr">
        <is>
          <t>华东</t>
        </is>
      </c>
      <c r="D224" s="6" t="inlineStr">
        <is>
          <t>王芳</t>
        </is>
      </c>
      <c r="E224" s="6" t="inlineStr">
        <is>
          <t>优加体能中心</t>
        </is>
      </c>
      <c r="F224" s="7" t="n">
        <v>75500</v>
      </c>
      <c r="G224" s="7" t="n">
        <v>54200</v>
      </c>
      <c r="H224" s="7" t="n">
        <v>21300</v>
      </c>
      <c r="I224" s="8" t="n">
        <v>0.2821192052980133</v>
      </c>
    </row>
    <row r="225">
      <c r="A225" s="6" t="inlineStr">
        <is>
          <t>2025-03</t>
        </is>
      </c>
      <c r="B225" s="6" t="inlineStr">
        <is>
          <t>体适能器材</t>
        </is>
      </c>
      <c r="C225" s="6" t="inlineStr">
        <is>
          <t>华东</t>
        </is>
      </c>
      <c r="D225" s="6" t="inlineStr">
        <is>
          <t>刘强</t>
        </is>
      </c>
      <c r="E225" s="6" t="inlineStr">
        <is>
          <t>纵横运动</t>
        </is>
      </c>
      <c r="F225" s="7" t="n">
        <v>63000</v>
      </c>
      <c r="G225" s="7" t="n">
        <v>45900</v>
      </c>
      <c r="H225" s="7" t="n">
        <v>17100</v>
      </c>
      <c r="I225" s="8" t="n">
        <v>0.2714285714285714</v>
      </c>
    </row>
    <row r="226">
      <c r="A226" s="6" t="inlineStr">
        <is>
          <t>2025-03</t>
        </is>
      </c>
      <c r="B226" s="6" t="inlineStr">
        <is>
          <t>体适能器材</t>
        </is>
      </c>
      <c r="C226" s="6" t="inlineStr">
        <is>
          <t>华东</t>
        </is>
      </c>
      <c r="D226" s="6" t="inlineStr">
        <is>
          <t>陈静</t>
        </is>
      </c>
      <c r="E226" s="6" t="inlineStr">
        <is>
          <t>风尚健身</t>
        </is>
      </c>
      <c r="F226" s="7" t="n">
        <v>68800</v>
      </c>
      <c r="G226" s="7" t="n">
        <v>49700</v>
      </c>
      <c r="H226" s="7" t="n">
        <v>19100</v>
      </c>
      <c r="I226" s="8" t="n">
        <v>0.2776162790697674</v>
      </c>
    </row>
    <row r="227">
      <c r="A227" s="6" t="inlineStr">
        <is>
          <t>2025-03</t>
        </is>
      </c>
      <c r="B227" s="6" t="inlineStr">
        <is>
          <t>体适能器材</t>
        </is>
      </c>
      <c r="C227" s="6" t="inlineStr">
        <is>
          <t>华北</t>
        </is>
      </c>
      <c r="D227" s="6" t="inlineStr">
        <is>
          <t>张伟</t>
        </is>
      </c>
      <c r="E227" s="6" t="inlineStr">
        <is>
          <t>康威运动商城</t>
        </is>
      </c>
      <c r="F227" s="7" t="n">
        <v>60600</v>
      </c>
      <c r="G227" s="7" t="n">
        <v>43300</v>
      </c>
      <c r="H227" s="7" t="n">
        <v>17300</v>
      </c>
      <c r="I227" s="8" t="n">
        <v>0.2854785478547855</v>
      </c>
    </row>
    <row r="228">
      <c r="A228" s="6" t="inlineStr">
        <is>
          <t>2025-03</t>
        </is>
      </c>
      <c r="B228" s="6" t="inlineStr">
        <is>
          <t>体适能器材</t>
        </is>
      </c>
      <c r="C228" s="6" t="inlineStr">
        <is>
          <t>华北</t>
        </is>
      </c>
      <c r="D228" s="6" t="inlineStr">
        <is>
          <t>李娜</t>
        </is>
      </c>
      <c r="E228" s="6" t="inlineStr">
        <is>
          <t>悍将运动</t>
        </is>
      </c>
      <c r="F228" s="7" t="n">
        <v>65800</v>
      </c>
      <c r="G228" s="7" t="n">
        <v>46500</v>
      </c>
      <c r="H228" s="7" t="n">
        <v>19300</v>
      </c>
      <c r="I228" s="8" t="n">
        <v>0.2933130699088146</v>
      </c>
    </row>
    <row r="229">
      <c r="A229" s="6" t="inlineStr">
        <is>
          <t>2025-03</t>
        </is>
      </c>
      <c r="B229" s="6" t="inlineStr">
        <is>
          <t>体适能器材</t>
        </is>
      </c>
      <c r="C229" s="6" t="inlineStr">
        <is>
          <t>华北</t>
        </is>
      </c>
      <c r="D229" s="6" t="inlineStr">
        <is>
          <t>王芳</t>
        </is>
      </c>
      <c r="E229" s="6" t="inlineStr">
        <is>
          <t>童行运动馆</t>
        </is>
      </c>
      <c r="F229" s="7" t="n">
        <v>52800</v>
      </c>
      <c r="G229" s="7" t="n">
        <v>38500</v>
      </c>
      <c r="H229" s="7" t="n">
        <v>14300</v>
      </c>
      <c r="I229" s="8" t="n">
        <v>0.2708333333333333</v>
      </c>
    </row>
    <row r="230">
      <c r="A230" s="6" t="inlineStr">
        <is>
          <t>2025-03</t>
        </is>
      </c>
      <c r="B230" s="6" t="inlineStr">
        <is>
          <t>体适能器材</t>
        </is>
      </c>
      <c r="C230" s="6" t="inlineStr">
        <is>
          <t>华北</t>
        </is>
      </c>
      <c r="D230" s="6" t="inlineStr">
        <is>
          <t>刘强</t>
        </is>
      </c>
      <c r="E230" s="6" t="inlineStr">
        <is>
          <t>卓越体能训练营</t>
        </is>
      </c>
      <c r="F230" s="7" t="n">
        <v>45400</v>
      </c>
      <c r="G230" s="7" t="n">
        <v>30800</v>
      </c>
      <c r="H230" s="7" t="n">
        <v>14600</v>
      </c>
      <c r="I230" s="8" t="n">
        <v>0.3215859030837004</v>
      </c>
    </row>
    <row r="231">
      <c r="A231" s="6" t="inlineStr">
        <is>
          <t>2025-03</t>
        </is>
      </c>
      <c r="B231" s="6" t="inlineStr">
        <is>
          <t>体适能器材</t>
        </is>
      </c>
      <c r="C231" s="6" t="inlineStr">
        <is>
          <t>华北</t>
        </is>
      </c>
      <c r="D231" s="6" t="inlineStr">
        <is>
          <t>陈静</t>
        </is>
      </c>
      <c r="E231" s="6" t="inlineStr">
        <is>
          <t>巅峰运动</t>
        </is>
      </c>
      <c r="F231" s="7" t="n">
        <v>51500</v>
      </c>
      <c r="G231" s="7" t="n">
        <v>35400</v>
      </c>
      <c r="H231" s="7" t="n">
        <v>16100</v>
      </c>
      <c r="I231" s="8" t="n">
        <v>0.312621359223301</v>
      </c>
    </row>
    <row r="232">
      <c r="A232" s="6" t="inlineStr">
        <is>
          <t>2025-03</t>
        </is>
      </c>
      <c r="B232" s="6" t="inlineStr">
        <is>
          <t>体适能器材</t>
        </is>
      </c>
      <c r="C232" s="6" t="inlineStr">
        <is>
          <t>华南</t>
        </is>
      </c>
      <c r="D232" s="6" t="inlineStr">
        <is>
          <t>张伟</t>
        </is>
      </c>
      <c r="E232" s="6" t="inlineStr">
        <is>
          <t>童行运动馆</t>
        </is>
      </c>
      <c r="F232" s="7" t="n">
        <v>67500</v>
      </c>
      <c r="G232" s="7" t="n">
        <v>49000</v>
      </c>
      <c r="H232" s="7" t="n">
        <v>18500</v>
      </c>
      <c r="I232" s="8" t="n">
        <v>0.2740740740740741</v>
      </c>
    </row>
    <row r="233">
      <c r="A233" s="6" t="inlineStr">
        <is>
          <t>2025-03</t>
        </is>
      </c>
      <c r="B233" s="6" t="inlineStr">
        <is>
          <t>体适能器材</t>
        </is>
      </c>
      <c r="C233" s="6" t="inlineStr">
        <is>
          <t>华南</t>
        </is>
      </c>
      <c r="D233" s="6" t="inlineStr">
        <is>
          <t>李娜</t>
        </is>
      </c>
      <c r="E233" s="6" t="inlineStr">
        <is>
          <t>卓越体能训练营</t>
        </is>
      </c>
      <c r="F233" s="7" t="n">
        <v>59300</v>
      </c>
      <c r="G233" s="7" t="n">
        <v>40300</v>
      </c>
      <c r="H233" s="7" t="n">
        <v>19000</v>
      </c>
      <c r="I233" s="8" t="n">
        <v>0.3204047217537943</v>
      </c>
    </row>
    <row r="234">
      <c r="A234" s="6" t="inlineStr">
        <is>
          <t>2025-03</t>
        </is>
      </c>
      <c r="B234" s="6" t="inlineStr">
        <is>
          <t>体适能器材</t>
        </is>
      </c>
      <c r="C234" s="6" t="inlineStr">
        <is>
          <t>华南</t>
        </is>
      </c>
      <c r="D234" s="6" t="inlineStr">
        <is>
          <t>王芳</t>
        </is>
      </c>
      <c r="E234" s="6" t="inlineStr">
        <is>
          <t>阳光体能</t>
        </is>
      </c>
      <c r="F234" s="7" t="n">
        <v>57800</v>
      </c>
      <c r="G234" s="7" t="n">
        <v>40900</v>
      </c>
      <c r="H234" s="7" t="n">
        <v>16900</v>
      </c>
      <c r="I234" s="8" t="n">
        <v>0.2923875432525951</v>
      </c>
    </row>
    <row r="235">
      <c r="A235" s="6" t="inlineStr">
        <is>
          <t>2025-03</t>
        </is>
      </c>
      <c r="B235" s="6" t="inlineStr">
        <is>
          <t>体适能器材</t>
        </is>
      </c>
      <c r="C235" s="6" t="inlineStr">
        <is>
          <t>华南</t>
        </is>
      </c>
      <c r="D235" s="6" t="inlineStr">
        <is>
          <t>刘强</t>
        </is>
      </c>
      <c r="E235" s="6" t="inlineStr">
        <is>
          <t>纵横运动</t>
        </is>
      </c>
      <c r="F235" s="7" t="n">
        <v>53700</v>
      </c>
      <c r="G235" s="7" t="n">
        <v>37900</v>
      </c>
      <c r="H235" s="7" t="n">
        <v>15800</v>
      </c>
      <c r="I235" s="8" t="n">
        <v>0.2942271880819367</v>
      </c>
    </row>
    <row r="236">
      <c r="A236" s="6" t="inlineStr">
        <is>
          <t>2025-03</t>
        </is>
      </c>
      <c r="B236" s="6" t="inlineStr">
        <is>
          <t>体适能器材</t>
        </is>
      </c>
      <c r="C236" s="6" t="inlineStr">
        <is>
          <t>华南</t>
        </is>
      </c>
      <c r="D236" s="6" t="inlineStr">
        <is>
          <t>陈静</t>
        </is>
      </c>
      <c r="E236" s="6" t="inlineStr">
        <is>
          <t>阳光体能</t>
        </is>
      </c>
      <c r="F236" s="7" t="n">
        <v>58600</v>
      </c>
      <c r="G236" s="7" t="n">
        <v>39900</v>
      </c>
      <c r="H236" s="7" t="n">
        <v>18700</v>
      </c>
      <c r="I236" s="8" t="n">
        <v>0.3191126279863481</v>
      </c>
    </row>
    <row r="237">
      <c r="A237" s="6" t="inlineStr">
        <is>
          <t>2025-03</t>
        </is>
      </c>
      <c r="B237" s="6" t="inlineStr">
        <is>
          <t>体适能器材</t>
        </is>
      </c>
      <c r="C237" s="6" t="inlineStr">
        <is>
          <t>西部</t>
        </is>
      </c>
      <c r="D237" s="6" t="inlineStr">
        <is>
          <t>张伟</t>
        </is>
      </c>
      <c r="E237" s="6" t="inlineStr">
        <is>
          <t>跃动少儿运动馆</t>
        </is>
      </c>
      <c r="F237" s="7" t="n">
        <v>44800</v>
      </c>
      <c r="G237" s="7" t="n">
        <v>32200</v>
      </c>
      <c r="H237" s="7" t="n">
        <v>12600</v>
      </c>
      <c r="I237" s="8" t="n">
        <v>0.28125</v>
      </c>
    </row>
    <row r="238">
      <c r="A238" s="6" t="inlineStr">
        <is>
          <t>2025-03</t>
        </is>
      </c>
      <c r="B238" s="6" t="inlineStr">
        <is>
          <t>体适能器材</t>
        </is>
      </c>
      <c r="C238" s="6" t="inlineStr">
        <is>
          <t>西部</t>
        </is>
      </c>
      <c r="D238" s="6" t="inlineStr">
        <is>
          <t>李娜</t>
        </is>
      </c>
      <c r="E238" s="6" t="inlineStr">
        <is>
          <t>童行运动馆</t>
        </is>
      </c>
      <c r="F238" s="7" t="n">
        <v>36300</v>
      </c>
      <c r="G238" s="7" t="n">
        <v>24400</v>
      </c>
      <c r="H238" s="7" t="n">
        <v>11900</v>
      </c>
      <c r="I238" s="8" t="n">
        <v>0.3278236914600551</v>
      </c>
    </row>
    <row r="239">
      <c r="A239" s="6" t="inlineStr">
        <is>
          <t>2025-03</t>
        </is>
      </c>
      <c r="B239" s="6" t="inlineStr">
        <is>
          <t>体适能器材</t>
        </is>
      </c>
      <c r="C239" s="6" t="inlineStr">
        <is>
          <t>西部</t>
        </is>
      </c>
      <c r="D239" s="6" t="inlineStr">
        <is>
          <t>王芳</t>
        </is>
      </c>
      <c r="E239" s="6" t="inlineStr">
        <is>
          <t>优加体能中心</t>
        </is>
      </c>
      <c r="F239" s="7" t="n">
        <v>39700</v>
      </c>
      <c r="G239" s="7" t="n">
        <v>26600</v>
      </c>
      <c r="H239" s="7" t="n">
        <v>13100</v>
      </c>
      <c r="I239" s="8" t="n">
        <v>0.3299748110831234</v>
      </c>
    </row>
    <row r="240">
      <c r="A240" s="6" t="inlineStr">
        <is>
          <t>2025-03</t>
        </is>
      </c>
      <c r="B240" s="6" t="inlineStr">
        <is>
          <t>体适能器材</t>
        </is>
      </c>
      <c r="C240" s="6" t="inlineStr">
        <is>
          <t>西部</t>
        </is>
      </c>
      <c r="D240" s="6" t="inlineStr">
        <is>
          <t>刘强</t>
        </is>
      </c>
      <c r="E240" s="6" t="inlineStr">
        <is>
          <t>迈步体育</t>
        </is>
      </c>
      <c r="F240" s="7" t="n">
        <v>31700</v>
      </c>
      <c r="G240" s="7" t="n">
        <v>22600</v>
      </c>
      <c r="H240" s="7" t="n">
        <v>9100</v>
      </c>
      <c r="I240" s="8" t="n">
        <v>0.2870662460567823</v>
      </c>
    </row>
    <row r="241">
      <c r="A241" s="6" t="inlineStr">
        <is>
          <t>2025-03</t>
        </is>
      </c>
      <c r="B241" s="6" t="inlineStr">
        <is>
          <t>体适能器材</t>
        </is>
      </c>
      <c r="C241" s="6" t="inlineStr">
        <is>
          <t>西部</t>
        </is>
      </c>
      <c r="D241" s="6" t="inlineStr">
        <is>
          <t>陈静</t>
        </is>
      </c>
      <c r="E241" s="6" t="inlineStr">
        <is>
          <t>雷霆篮球</t>
        </is>
      </c>
      <c r="F241" s="7" t="n">
        <v>41100</v>
      </c>
      <c r="G241" s="7" t="n">
        <v>28200</v>
      </c>
      <c r="H241" s="7" t="n">
        <v>12900</v>
      </c>
      <c r="I241" s="8" t="n">
        <v>0.3138686131386861</v>
      </c>
    </row>
    <row r="242">
      <c r="A242" s="6" t="inlineStr">
        <is>
          <t>2025-03</t>
        </is>
      </c>
      <c r="B242" s="6" t="inlineStr">
        <is>
          <t>训练服饰</t>
        </is>
      </c>
      <c r="C242" s="6" t="inlineStr">
        <is>
          <t>华东</t>
        </is>
      </c>
      <c r="D242" s="6" t="inlineStr">
        <is>
          <t>张伟</t>
        </is>
      </c>
      <c r="E242" s="6" t="inlineStr">
        <is>
          <t>腾飞体育用品</t>
        </is>
      </c>
      <c r="F242" s="7" t="n">
        <v>42000</v>
      </c>
      <c r="G242" s="7" t="n">
        <v>22900</v>
      </c>
      <c r="H242" s="7" t="n">
        <v>19100</v>
      </c>
      <c r="I242" s="8" t="n">
        <v>0.4547619047619048</v>
      </c>
    </row>
    <row r="243">
      <c r="A243" s="6" t="inlineStr">
        <is>
          <t>2025-03</t>
        </is>
      </c>
      <c r="B243" s="6" t="inlineStr">
        <is>
          <t>训练服饰</t>
        </is>
      </c>
      <c r="C243" s="6" t="inlineStr">
        <is>
          <t>华东</t>
        </is>
      </c>
      <c r="D243" s="6" t="inlineStr">
        <is>
          <t>李娜</t>
        </is>
      </c>
      <c r="E243" s="6" t="inlineStr">
        <is>
          <t>风尚健身</t>
        </is>
      </c>
      <c r="F243" s="7" t="n">
        <v>53100</v>
      </c>
      <c r="G243" s="7" t="n">
        <v>30000</v>
      </c>
      <c r="H243" s="7" t="n">
        <v>23100</v>
      </c>
      <c r="I243" s="8" t="n">
        <v>0.4350282485875706</v>
      </c>
    </row>
    <row r="244">
      <c r="A244" s="6" t="inlineStr">
        <is>
          <t>2025-03</t>
        </is>
      </c>
      <c r="B244" s="6" t="inlineStr">
        <is>
          <t>训练服饰</t>
        </is>
      </c>
      <c r="C244" s="6" t="inlineStr">
        <is>
          <t>华东</t>
        </is>
      </c>
      <c r="D244" s="6" t="inlineStr">
        <is>
          <t>王芳</t>
        </is>
      </c>
      <c r="E244" s="6" t="inlineStr">
        <is>
          <t>超能体育</t>
        </is>
      </c>
      <c r="F244" s="7" t="n">
        <v>52600</v>
      </c>
      <c r="G244" s="7" t="n">
        <v>30200</v>
      </c>
      <c r="H244" s="7" t="n">
        <v>22400</v>
      </c>
      <c r="I244" s="8" t="n">
        <v>0.4258555133079848</v>
      </c>
    </row>
    <row r="245">
      <c r="A245" s="6" t="inlineStr">
        <is>
          <t>2025-03</t>
        </is>
      </c>
      <c r="B245" s="6" t="inlineStr">
        <is>
          <t>训练服饰</t>
        </is>
      </c>
      <c r="C245" s="6" t="inlineStr">
        <is>
          <t>华东</t>
        </is>
      </c>
      <c r="D245" s="6" t="inlineStr">
        <is>
          <t>刘强</t>
        </is>
      </c>
      <c r="E245" s="6" t="inlineStr">
        <is>
          <t>极客穿戴</t>
        </is>
      </c>
      <c r="F245" s="7" t="n">
        <v>43800</v>
      </c>
      <c r="G245" s="7" t="n">
        <v>25200</v>
      </c>
      <c r="H245" s="7" t="n">
        <v>18600</v>
      </c>
      <c r="I245" s="8" t="n">
        <v>0.4246575342465753</v>
      </c>
    </row>
    <row r="246">
      <c r="A246" s="6" t="inlineStr">
        <is>
          <t>2025-03</t>
        </is>
      </c>
      <c r="B246" s="6" t="inlineStr">
        <is>
          <t>训练服饰</t>
        </is>
      </c>
      <c r="C246" s="6" t="inlineStr">
        <is>
          <t>华东</t>
        </is>
      </c>
      <c r="D246" s="6" t="inlineStr">
        <is>
          <t>陈静</t>
        </is>
      </c>
      <c r="E246" s="6" t="inlineStr">
        <is>
          <t>迈步体育</t>
        </is>
      </c>
      <c r="F246" s="7" t="n">
        <v>45200</v>
      </c>
      <c r="G246" s="7" t="n">
        <v>25600</v>
      </c>
      <c r="H246" s="7" t="n">
        <v>19600</v>
      </c>
      <c r="I246" s="8" t="n">
        <v>0.4336283185840708</v>
      </c>
    </row>
    <row r="247">
      <c r="A247" s="6" t="inlineStr">
        <is>
          <t>2025-03</t>
        </is>
      </c>
      <c r="B247" s="6" t="inlineStr">
        <is>
          <t>训练服饰</t>
        </is>
      </c>
      <c r="C247" s="6" t="inlineStr">
        <is>
          <t>华北</t>
        </is>
      </c>
      <c r="D247" s="6" t="inlineStr">
        <is>
          <t>张伟</t>
        </is>
      </c>
      <c r="E247" s="6" t="inlineStr">
        <is>
          <t>锋行体育</t>
        </is>
      </c>
      <c r="F247" s="7" t="n">
        <v>32700</v>
      </c>
      <c r="G247" s="7" t="n">
        <v>17200</v>
      </c>
      <c r="H247" s="7" t="n">
        <v>15500</v>
      </c>
      <c r="I247" s="8" t="n">
        <v>0.4740061162079511</v>
      </c>
    </row>
    <row r="248">
      <c r="A248" s="6" t="inlineStr">
        <is>
          <t>2025-03</t>
        </is>
      </c>
      <c r="B248" s="6" t="inlineStr">
        <is>
          <t>训练服饰</t>
        </is>
      </c>
      <c r="C248" s="6" t="inlineStr">
        <is>
          <t>华北</t>
        </is>
      </c>
      <c r="D248" s="6" t="inlineStr">
        <is>
          <t>李娜</t>
        </is>
      </c>
      <c r="E248" s="6" t="inlineStr">
        <is>
          <t>极客穿戴</t>
        </is>
      </c>
      <c r="F248" s="7" t="n">
        <v>35500</v>
      </c>
      <c r="G248" s="7" t="n">
        <v>18800</v>
      </c>
      <c r="H248" s="7" t="n">
        <v>16700</v>
      </c>
      <c r="I248" s="8" t="n">
        <v>0.4704225352112676</v>
      </c>
    </row>
    <row r="249">
      <c r="A249" s="6" t="inlineStr">
        <is>
          <t>2025-03</t>
        </is>
      </c>
      <c r="B249" s="6" t="inlineStr">
        <is>
          <t>训练服饰</t>
        </is>
      </c>
      <c r="C249" s="6" t="inlineStr">
        <is>
          <t>华北</t>
        </is>
      </c>
      <c r="D249" s="6" t="inlineStr">
        <is>
          <t>王芳</t>
        </is>
      </c>
      <c r="E249" s="6" t="inlineStr">
        <is>
          <t>极客穿戴</t>
        </is>
      </c>
      <c r="F249" s="7" t="n">
        <v>35000</v>
      </c>
      <c r="G249" s="7" t="n">
        <v>19300</v>
      </c>
      <c r="H249" s="7" t="n">
        <v>15700</v>
      </c>
      <c r="I249" s="8" t="n">
        <v>0.4485714285714286</v>
      </c>
    </row>
    <row r="250">
      <c r="A250" s="6" t="inlineStr">
        <is>
          <t>2025-03</t>
        </is>
      </c>
      <c r="B250" s="6" t="inlineStr">
        <is>
          <t>训练服饰</t>
        </is>
      </c>
      <c r="C250" s="6" t="inlineStr">
        <is>
          <t>华北</t>
        </is>
      </c>
      <c r="D250" s="6" t="inlineStr">
        <is>
          <t>刘强</t>
        </is>
      </c>
      <c r="E250" s="6" t="inlineStr">
        <is>
          <t>悍将运动</t>
        </is>
      </c>
      <c r="F250" s="7" t="n">
        <v>35600</v>
      </c>
      <c r="G250" s="7" t="n">
        <v>20600</v>
      </c>
      <c r="H250" s="7" t="n">
        <v>15000</v>
      </c>
      <c r="I250" s="8" t="n">
        <v>0.4213483146067415</v>
      </c>
    </row>
    <row r="251">
      <c r="A251" s="6" t="inlineStr">
        <is>
          <t>2025-03</t>
        </is>
      </c>
      <c r="B251" s="6" t="inlineStr">
        <is>
          <t>训练服饰</t>
        </is>
      </c>
      <c r="C251" s="6" t="inlineStr">
        <is>
          <t>华北</t>
        </is>
      </c>
      <c r="D251" s="6" t="inlineStr">
        <is>
          <t>陈静</t>
        </is>
      </c>
      <c r="E251" s="6" t="inlineStr">
        <is>
          <t>极客穿戴</t>
        </is>
      </c>
      <c r="F251" s="7" t="n">
        <v>40400</v>
      </c>
      <c r="G251" s="7" t="n">
        <v>22000</v>
      </c>
      <c r="H251" s="7" t="n">
        <v>18400</v>
      </c>
      <c r="I251" s="8" t="n">
        <v>0.4554455445544555</v>
      </c>
    </row>
    <row r="252">
      <c r="A252" s="6" t="inlineStr">
        <is>
          <t>2025-03</t>
        </is>
      </c>
      <c r="B252" s="6" t="inlineStr">
        <is>
          <t>训练服饰</t>
        </is>
      </c>
      <c r="C252" s="6" t="inlineStr">
        <is>
          <t>华南</t>
        </is>
      </c>
      <c r="D252" s="6" t="inlineStr">
        <is>
          <t>张伟</t>
        </is>
      </c>
      <c r="E252" s="6" t="inlineStr">
        <is>
          <t>乐动体育</t>
        </is>
      </c>
      <c r="F252" s="7" t="n">
        <v>47100</v>
      </c>
      <c r="G252" s="7" t="n">
        <v>26600</v>
      </c>
      <c r="H252" s="7" t="n">
        <v>20500</v>
      </c>
      <c r="I252" s="8" t="n">
        <v>0.4352441613588111</v>
      </c>
    </row>
    <row r="253">
      <c r="A253" s="6" t="inlineStr">
        <is>
          <t>2025-03</t>
        </is>
      </c>
      <c r="B253" s="6" t="inlineStr">
        <is>
          <t>训练服饰</t>
        </is>
      </c>
      <c r="C253" s="6" t="inlineStr">
        <is>
          <t>华南</t>
        </is>
      </c>
      <c r="D253" s="6" t="inlineStr">
        <is>
          <t>李娜</t>
        </is>
      </c>
      <c r="E253" s="6" t="inlineStr">
        <is>
          <t>飞跃训练营</t>
        </is>
      </c>
      <c r="F253" s="7" t="n">
        <v>39300</v>
      </c>
      <c r="G253" s="7" t="n">
        <v>21700</v>
      </c>
      <c r="H253" s="7" t="n">
        <v>17600</v>
      </c>
      <c r="I253" s="8" t="n">
        <v>0.4478371501272265</v>
      </c>
    </row>
    <row r="254">
      <c r="A254" s="6" t="inlineStr">
        <is>
          <t>2025-03</t>
        </is>
      </c>
      <c r="B254" s="6" t="inlineStr">
        <is>
          <t>训练服饰</t>
        </is>
      </c>
      <c r="C254" s="6" t="inlineStr">
        <is>
          <t>华南</t>
        </is>
      </c>
      <c r="D254" s="6" t="inlineStr">
        <is>
          <t>王芳</t>
        </is>
      </c>
      <c r="E254" s="6" t="inlineStr">
        <is>
          <t>风云篮球馆</t>
        </is>
      </c>
      <c r="F254" s="7" t="n">
        <v>42900</v>
      </c>
      <c r="G254" s="7" t="n">
        <v>23400</v>
      </c>
      <c r="H254" s="7" t="n">
        <v>19500</v>
      </c>
      <c r="I254" s="8" t="n">
        <v>0.4545454545454545</v>
      </c>
    </row>
    <row r="255">
      <c r="A255" s="6" t="inlineStr">
        <is>
          <t>2025-03</t>
        </is>
      </c>
      <c r="B255" s="6" t="inlineStr">
        <is>
          <t>训练服饰</t>
        </is>
      </c>
      <c r="C255" s="6" t="inlineStr">
        <is>
          <t>华南</t>
        </is>
      </c>
      <c r="D255" s="6" t="inlineStr">
        <is>
          <t>刘强</t>
        </is>
      </c>
      <c r="E255" s="6" t="inlineStr">
        <is>
          <t>成长树运动馆</t>
        </is>
      </c>
      <c r="F255" s="7" t="n">
        <v>36600</v>
      </c>
      <c r="G255" s="7" t="n">
        <v>21200</v>
      </c>
      <c r="H255" s="7" t="n">
        <v>15400</v>
      </c>
      <c r="I255" s="8" t="n">
        <v>0.4207650273224044</v>
      </c>
    </row>
    <row r="256">
      <c r="A256" s="6" t="inlineStr">
        <is>
          <t>2025-03</t>
        </is>
      </c>
      <c r="B256" s="6" t="inlineStr">
        <is>
          <t>训练服饰</t>
        </is>
      </c>
      <c r="C256" s="6" t="inlineStr">
        <is>
          <t>华南</t>
        </is>
      </c>
      <c r="D256" s="6" t="inlineStr">
        <is>
          <t>陈静</t>
        </is>
      </c>
      <c r="E256" s="6" t="inlineStr">
        <is>
          <t>跃动少儿运动馆</t>
        </is>
      </c>
      <c r="F256" s="7" t="n">
        <v>41600</v>
      </c>
      <c r="G256" s="7" t="n">
        <v>22900</v>
      </c>
      <c r="H256" s="7" t="n">
        <v>18700</v>
      </c>
      <c r="I256" s="8" t="n">
        <v>0.4495192307692308</v>
      </c>
    </row>
    <row r="257">
      <c r="A257" s="6" t="inlineStr">
        <is>
          <t>2025-03</t>
        </is>
      </c>
      <c r="B257" s="6" t="inlineStr">
        <is>
          <t>训练服饰</t>
        </is>
      </c>
      <c r="C257" s="6" t="inlineStr">
        <is>
          <t>西部</t>
        </is>
      </c>
      <c r="D257" s="6" t="inlineStr">
        <is>
          <t>张伟</t>
        </is>
      </c>
      <c r="E257" s="6" t="inlineStr">
        <is>
          <t>星跃体育</t>
        </is>
      </c>
      <c r="F257" s="7" t="n">
        <v>28500</v>
      </c>
      <c r="G257" s="7" t="n">
        <v>15500</v>
      </c>
      <c r="H257" s="7" t="n">
        <v>13000</v>
      </c>
      <c r="I257" s="8" t="n">
        <v>0.456140350877193</v>
      </c>
    </row>
    <row r="258">
      <c r="A258" s="6" t="inlineStr">
        <is>
          <t>2025-03</t>
        </is>
      </c>
      <c r="B258" s="6" t="inlineStr">
        <is>
          <t>训练服饰</t>
        </is>
      </c>
      <c r="C258" s="6" t="inlineStr">
        <is>
          <t>西部</t>
        </is>
      </c>
      <c r="D258" s="6" t="inlineStr">
        <is>
          <t>李娜</t>
        </is>
      </c>
      <c r="E258" s="6" t="inlineStr">
        <is>
          <t>天天向上健身</t>
        </is>
      </c>
      <c r="F258" s="7" t="n">
        <v>28600</v>
      </c>
      <c r="G258" s="7" t="n">
        <v>15400</v>
      </c>
      <c r="H258" s="7" t="n">
        <v>13200</v>
      </c>
      <c r="I258" s="8" t="n">
        <v>0.4615384615384616</v>
      </c>
    </row>
    <row r="259">
      <c r="A259" s="6" t="inlineStr">
        <is>
          <t>2025-03</t>
        </is>
      </c>
      <c r="B259" s="6" t="inlineStr">
        <is>
          <t>训练服饰</t>
        </is>
      </c>
      <c r="C259" s="6" t="inlineStr">
        <is>
          <t>西部</t>
        </is>
      </c>
      <c r="D259" s="6" t="inlineStr">
        <is>
          <t>王芳</t>
        </is>
      </c>
      <c r="E259" s="6" t="inlineStr">
        <is>
          <t>茁长少儿体适能</t>
        </is>
      </c>
      <c r="F259" s="7" t="n">
        <v>28800</v>
      </c>
      <c r="G259" s="7" t="n">
        <v>15100</v>
      </c>
      <c r="H259" s="7" t="n">
        <v>13700</v>
      </c>
      <c r="I259" s="8" t="n">
        <v>0.4756944444444444</v>
      </c>
    </row>
    <row r="260">
      <c r="A260" s="6" t="inlineStr">
        <is>
          <t>2025-03</t>
        </is>
      </c>
      <c r="B260" s="6" t="inlineStr">
        <is>
          <t>训练服饰</t>
        </is>
      </c>
      <c r="C260" s="6" t="inlineStr">
        <is>
          <t>西部</t>
        </is>
      </c>
      <c r="D260" s="6" t="inlineStr">
        <is>
          <t>刘强</t>
        </is>
      </c>
      <c r="E260" s="6" t="inlineStr">
        <is>
          <t>雷霆篮球</t>
        </is>
      </c>
      <c r="F260" s="7" t="n">
        <v>27800</v>
      </c>
      <c r="G260" s="7" t="n">
        <v>15300</v>
      </c>
      <c r="H260" s="7" t="n">
        <v>12500</v>
      </c>
      <c r="I260" s="8" t="n">
        <v>0.4496402877697842</v>
      </c>
    </row>
    <row r="261">
      <c r="A261" s="6" t="inlineStr">
        <is>
          <t>2025-03</t>
        </is>
      </c>
      <c r="B261" s="6" t="inlineStr">
        <is>
          <t>训练服饰</t>
        </is>
      </c>
      <c r="C261" s="6" t="inlineStr">
        <is>
          <t>西部</t>
        </is>
      </c>
      <c r="D261" s="6" t="inlineStr">
        <is>
          <t>陈静</t>
        </is>
      </c>
      <c r="E261" s="6" t="inlineStr">
        <is>
          <t>元气营养</t>
        </is>
      </c>
      <c r="F261" s="7" t="n">
        <v>21800</v>
      </c>
      <c r="G261" s="7" t="n">
        <v>11700</v>
      </c>
      <c r="H261" s="7" t="n">
        <v>10100</v>
      </c>
      <c r="I261" s="8" t="n">
        <v>0.463302752293578</v>
      </c>
    </row>
    <row r="262">
      <c r="A262" s="6" t="inlineStr">
        <is>
          <t>2025-03</t>
        </is>
      </c>
      <c r="B262" s="6" t="inlineStr">
        <is>
          <t>营养补给</t>
        </is>
      </c>
      <c r="C262" s="6" t="inlineStr">
        <is>
          <t>华东</t>
        </is>
      </c>
      <c r="D262" s="6" t="inlineStr">
        <is>
          <t>张伟</t>
        </is>
      </c>
      <c r="E262" s="6" t="inlineStr">
        <is>
          <t>活力无限健身</t>
        </is>
      </c>
      <c r="F262" s="7" t="n">
        <v>57200</v>
      </c>
      <c r="G262" s="7" t="n">
        <v>41600</v>
      </c>
      <c r="H262" s="7" t="n">
        <v>15600</v>
      </c>
      <c r="I262" s="8" t="n">
        <v>0.2727272727272727</v>
      </c>
    </row>
    <row r="263">
      <c r="A263" s="6" t="inlineStr">
        <is>
          <t>2025-03</t>
        </is>
      </c>
      <c r="B263" s="6" t="inlineStr">
        <is>
          <t>营养补给</t>
        </is>
      </c>
      <c r="C263" s="6" t="inlineStr">
        <is>
          <t>华东</t>
        </is>
      </c>
      <c r="D263" s="6" t="inlineStr">
        <is>
          <t>李娜</t>
        </is>
      </c>
      <c r="E263" s="6" t="inlineStr">
        <is>
          <t>冠军之路俱乐部</t>
        </is>
      </c>
      <c r="F263" s="7" t="n">
        <v>60400</v>
      </c>
      <c r="G263" s="7" t="n">
        <v>44600</v>
      </c>
      <c r="H263" s="7" t="n">
        <v>15800</v>
      </c>
      <c r="I263" s="8" t="n">
        <v>0.2615894039735099</v>
      </c>
    </row>
    <row r="264">
      <c r="A264" s="6" t="inlineStr">
        <is>
          <t>2025-03</t>
        </is>
      </c>
      <c r="B264" s="6" t="inlineStr">
        <is>
          <t>营养补给</t>
        </is>
      </c>
      <c r="C264" s="6" t="inlineStr">
        <is>
          <t>华东</t>
        </is>
      </c>
      <c r="D264" s="6" t="inlineStr">
        <is>
          <t>王芳</t>
        </is>
      </c>
      <c r="E264" s="6" t="inlineStr">
        <is>
          <t>星跃体育</t>
        </is>
      </c>
      <c r="F264" s="7" t="n">
        <v>62500</v>
      </c>
      <c r="G264" s="7" t="n">
        <v>47700</v>
      </c>
      <c r="H264" s="7" t="n">
        <v>14800</v>
      </c>
      <c r="I264" s="8" t="n">
        <v>0.2368</v>
      </c>
    </row>
    <row r="265">
      <c r="A265" s="6" t="inlineStr">
        <is>
          <t>2025-03</t>
        </is>
      </c>
      <c r="B265" s="6" t="inlineStr">
        <is>
          <t>营养补给</t>
        </is>
      </c>
      <c r="C265" s="6" t="inlineStr">
        <is>
          <t>华东</t>
        </is>
      </c>
      <c r="D265" s="6" t="inlineStr">
        <is>
          <t>刘强</t>
        </is>
      </c>
      <c r="E265" s="6" t="inlineStr">
        <is>
          <t>活力无限健身</t>
        </is>
      </c>
      <c r="F265" s="7" t="n">
        <v>57500</v>
      </c>
      <c r="G265" s="7" t="n">
        <v>41900</v>
      </c>
      <c r="H265" s="7" t="n">
        <v>15600</v>
      </c>
      <c r="I265" s="8" t="n">
        <v>0.271304347826087</v>
      </c>
    </row>
    <row r="266">
      <c r="A266" s="6" t="inlineStr">
        <is>
          <t>2025-03</t>
        </is>
      </c>
      <c r="B266" s="6" t="inlineStr">
        <is>
          <t>营养补给</t>
        </is>
      </c>
      <c r="C266" s="6" t="inlineStr">
        <is>
          <t>华东</t>
        </is>
      </c>
      <c r="D266" s="6" t="inlineStr">
        <is>
          <t>陈静</t>
        </is>
      </c>
      <c r="E266" s="6" t="inlineStr">
        <is>
          <t>迈步体育</t>
        </is>
      </c>
      <c r="F266" s="7" t="n">
        <v>61200</v>
      </c>
      <c r="G266" s="7" t="n">
        <v>45600</v>
      </c>
      <c r="H266" s="7" t="n">
        <v>15600</v>
      </c>
      <c r="I266" s="8" t="n">
        <v>0.2549019607843137</v>
      </c>
    </row>
    <row r="267">
      <c r="A267" s="6" t="inlineStr">
        <is>
          <t>2025-03</t>
        </is>
      </c>
      <c r="B267" s="6" t="inlineStr">
        <is>
          <t>营养补给</t>
        </is>
      </c>
      <c r="C267" s="6" t="inlineStr">
        <is>
          <t>华北</t>
        </is>
      </c>
      <c r="D267" s="6" t="inlineStr">
        <is>
          <t>张伟</t>
        </is>
      </c>
      <c r="E267" s="6" t="inlineStr">
        <is>
          <t>星跃体育</t>
        </is>
      </c>
      <c r="F267" s="7" t="n">
        <v>52000</v>
      </c>
      <c r="G267" s="7" t="n">
        <v>39400</v>
      </c>
      <c r="H267" s="7" t="n">
        <v>12600</v>
      </c>
      <c r="I267" s="8" t="n">
        <v>0.2423076923076923</v>
      </c>
    </row>
    <row r="268">
      <c r="A268" s="6" t="inlineStr">
        <is>
          <t>2025-03</t>
        </is>
      </c>
      <c r="B268" s="6" t="inlineStr">
        <is>
          <t>营养补给</t>
        </is>
      </c>
      <c r="C268" s="6" t="inlineStr">
        <is>
          <t>华北</t>
        </is>
      </c>
      <c r="D268" s="6" t="inlineStr">
        <is>
          <t>李娜</t>
        </is>
      </c>
      <c r="E268" s="6" t="inlineStr">
        <is>
          <t>飞跃训练营</t>
        </is>
      </c>
      <c r="F268" s="7" t="n">
        <v>44600</v>
      </c>
      <c r="G268" s="7" t="n">
        <v>33000</v>
      </c>
      <c r="H268" s="7" t="n">
        <v>11600</v>
      </c>
      <c r="I268" s="8" t="n">
        <v>0.2600896860986547</v>
      </c>
    </row>
    <row r="269">
      <c r="A269" s="6" t="inlineStr">
        <is>
          <t>2025-03</t>
        </is>
      </c>
      <c r="B269" s="6" t="inlineStr">
        <is>
          <t>营养补给</t>
        </is>
      </c>
      <c r="C269" s="6" t="inlineStr">
        <is>
          <t>华北</t>
        </is>
      </c>
      <c r="D269" s="6" t="inlineStr">
        <is>
          <t>王芳</t>
        </is>
      </c>
      <c r="E269" s="6" t="inlineStr">
        <is>
          <t>活力无限健身</t>
        </is>
      </c>
      <c r="F269" s="7" t="n">
        <v>54200</v>
      </c>
      <c r="G269" s="7" t="n">
        <v>40200</v>
      </c>
      <c r="H269" s="7" t="n">
        <v>14000</v>
      </c>
      <c r="I269" s="8" t="n">
        <v>0.2583025830258303</v>
      </c>
    </row>
    <row r="270">
      <c r="A270" s="6" t="inlineStr">
        <is>
          <t>2025-03</t>
        </is>
      </c>
      <c r="B270" s="6" t="inlineStr">
        <is>
          <t>营养补给</t>
        </is>
      </c>
      <c r="C270" s="6" t="inlineStr">
        <is>
          <t>华北</t>
        </is>
      </c>
      <c r="D270" s="6" t="inlineStr">
        <is>
          <t>刘强</t>
        </is>
      </c>
      <c r="E270" s="6" t="inlineStr">
        <is>
          <t>优加体能中心</t>
        </is>
      </c>
      <c r="F270" s="7" t="n">
        <v>44100</v>
      </c>
      <c r="G270" s="7" t="n">
        <v>33000</v>
      </c>
      <c r="H270" s="7" t="n">
        <v>11100</v>
      </c>
      <c r="I270" s="8" t="n">
        <v>0.2517006802721088</v>
      </c>
    </row>
    <row r="271">
      <c r="A271" s="6" t="inlineStr">
        <is>
          <t>2025-03</t>
        </is>
      </c>
      <c r="B271" s="6" t="inlineStr">
        <is>
          <t>营养补给</t>
        </is>
      </c>
      <c r="C271" s="6" t="inlineStr">
        <is>
          <t>华北</t>
        </is>
      </c>
      <c r="D271" s="6" t="inlineStr">
        <is>
          <t>陈静</t>
        </is>
      </c>
      <c r="E271" s="6" t="inlineStr">
        <is>
          <t>飞跃训练营</t>
        </is>
      </c>
      <c r="F271" s="7" t="n">
        <v>41900</v>
      </c>
      <c r="G271" s="7" t="n">
        <v>31000</v>
      </c>
      <c r="H271" s="7" t="n">
        <v>10900</v>
      </c>
      <c r="I271" s="8" t="n">
        <v>0.2601431980906921</v>
      </c>
    </row>
    <row r="272">
      <c r="A272" s="6" t="inlineStr">
        <is>
          <t>2025-03</t>
        </is>
      </c>
      <c r="B272" s="6" t="inlineStr">
        <is>
          <t>营养补给</t>
        </is>
      </c>
      <c r="C272" s="6" t="inlineStr">
        <is>
          <t>华南</t>
        </is>
      </c>
      <c r="D272" s="6" t="inlineStr">
        <is>
          <t>张伟</t>
        </is>
      </c>
      <c r="E272" s="6" t="inlineStr">
        <is>
          <t>小飞侠运动俱乐部</t>
        </is>
      </c>
      <c r="F272" s="7" t="n">
        <v>44900</v>
      </c>
      <c r="G272" s="7" t="n">
        <v>33600</v>
      </c>
      <c r="H272" s="7" t="n">
        <v>11300</v>
      </c>
      <c r="I272" s="8" t="n">
        <v>0.2516703786191537</v>
      </c>
    </row>
    <row r="273">
      <c r="A273" s="6" t="inlineStr">
        <is>
          <t>2025-03</t>
        </is>
      </c>
      <c r="B273" s="6" t="inlineStr">
        <is>
          <t>营养补给</t>
        </is>
      </c>
      <c r="C273" s="6" t="inlineStr">
        <is>
          <t>华南</t>
        </is>
      </c>
      <c r="D273" s="6" t="inlineStr">
        <is>
          <t>李娜</t>
        </is>
      </c>
      <c r="E273" s="6" t="inlineStr">
        <is>
          <t>极客穿戴</t>
        </is>
      </c>
      <c r="F273" s="7" t="n">
        <v>45100</v>
      </c>
      <c r="G273" s="7" t="n">
        <v>33600</v>
      </c>
      <c r="H273" s="7" t="n">
        <v>11500</v>
      </c>
      <c r="I273" s="8" t="n">
        <v>0.2549889135254989</v>
      </c>
    </row>
    <row r="274">
      <c r="A274" s="6" t="inlineStr">
        <is>
          <t>2025-03</t>
        </is>
      </c>
      <c r="B274" s="6" t="inlineStr">
        <is>
          <t>营养补给</t>
        </is>
      </c>
      <c r="C274" s="6" t="inlineStr">
        <is>
          <t>华南</t>
        </is>
      </c>
      <c r="D274" s="6" t="inlineStr">
        <is>
          <t>王芳</t>
        </is>
      </c>
      <c r="E274" s="6" t="inlineStr">
        <is>
          <t>强体体育</t>
        </is>
      </c>
      <c r="F274" s="7" t="n">
        <v>49400</v>
      </c>
      <c r="G274" s="7" t="n">
        <v>36800</v>
      </c>
      <c r="H274" s="7" t="n">
        <v>12600</v>
      </c>
      <c r="I274" s="8" t="n">
        <v>0.2550607287449393</v>
      </c>
    </row>
    <row r="275">
      <c r="A275" s="6" t="inlineStr">
        <is>
          <t>2025-03</t>
        </is>
      </c>
      <c r="B275" s="6" t="inlineStr">
        <is>
          <t>营养补给</t>
        </is>
      </c>
      <c r="C275" s="6" t="inlineStr">
        <is>
          <t>华南</t>
        </is>
      </c>
      <c r="D275" s="6" t="inlineStr">
        <is>
          <t>刘强</t>
        </is>
      </c>
      <c r="E275" s="6" t="inlineStr">
        <is>
          <t>冠军之路俱乐部</t>
        </is>
      </c>
      <c r="F275" s="7" t="n">
        <v>55600</v>
      </c>
      <c r="G275" s="7" t="n">
        <v>42100</v>
      </c>
      <c r="H275" s="7" t="n">
        <v>13500</v>
      </c>
      <c r="I275" s="8" t="n">
        <v>0.2428057553956834</v>
      </c>
    </row>
    <row r="276">
      <c r="A276" s="6" t="inlineStr">
        <is>
          <t>2025-03</t>
        </is>
      </c>
      <c r="B276" s="6" t="inlineStr">
        <is>
          <t>营养补给</t>
        </is>
      </c>
      <c r="C276" s="6" t="inlineStr">
        <is>
          <t>华南</t>
        </is>
      </c>
      <c r="D276" s="6" t="inlineStr">
        <is>
          <t>陈静</t>
        </is>
      </c>
      <c r="E276" s="6" t="inlineStr">
        <is>
          <t>腾飞体育用品</t>
        </is>
      </c>
      <c r="F276" s="7" t="n">
        <v>44700</v>
      </c>
      <c r="G276" s="7" t="n">
        <v>34500</v>
      </c>
      <c r="H276" s="7" t="n">
        <v>10200</v>
      </c>
      <c r="I276" s="8" t="n">
        <v>0.2281879194630873</v>
      </c>
    </row>
    <row r="277">
      <c r="A277" s="6" t="inlineStr">
        <is>
          <t>2025-03</t>
        </is>
      </c>
      <c r="B277" s="6" t="inlineStr">
        <is>
          <t>营养补给</t>
        </is>
      </c>
      <c r="C277" s="6" t="inlineStr">
        <is>
          <t>西部</t>
        </is>
      </c>
      <c r="D277" s="6" t="inlineStr">
        <is>
          <t>张伟</t>
        </is>
      </c>
      <c r="E277" s="6" t="inlineStr">
        <is>
          <t>康威运动商城</t>
        </is>
      </c>
      <c r="F277" s="7" t="n">
        <v>28800</v>
      </c>
      <c r="G277" s="7" t="n">
        <v>21300</v>
      </c>
      <c r="H277" s="7" t="n">
        <v>7500</v>
      </c>
      <c r="I277" s="8" t="n">
        <v>0.2604166666666667</v>
      </c>
    </row>
    <row r="278">
      <c r="A278" s="6" t="inlineStr">
        <is>
          <t>2025-03</t>
        </is>
      </c>
      <c r="B278" s="6" t="inlineStr">
        <is>
          <t>营养补给</t>
        </is>
      </c>
      <c r="C278" s="6" t="inlineStr">
        <is>
          <t>西部</t>
        </is>
      </c>
      <c r="D278" s="6" t="inlineStr">
        <is>
          <t>李娜</t>
        </is>
      </c>
      <c r="E278" s="6" t="inlineStr">
        <is>
          <t>童行运动馆</t>
        </is>
      </c>
      <c r="F278" s="7" t="n">
        <v>32800</v>
      </c>
      <c r="G278" s="7" t="n">
        <v>24700</v>
      </c>
      <c r="H278" s="7" t="n">
        <v>8100</v>
      </c>
      <c r="I278" s="8" t="n">
        <v>0.2469512195121951</v>
      </c>
    </row>
    <row r="279">
      <c r="A279" s="6" t="inlineStr">
        <is>
          <t>2025-03</t>
        </is>
      </c>
      <c r="B279" s="6" t="inlineStr">
        <is>
          <t>营养补给</t>
        </is>
      </c>
      <c r="C279" s="6" t="inlineStr">
        <is>
          <t>西部</t>
        </is>
      </c>
      <c r="D279" s="6" t="inlineStr">
        <is>
          <t>王芳</t>
        </is>
      </c>
      <c r="E279" s="6" t="inlineStr">
        <is>
          <t>茁长少儿体适能</t>
        </is>
      </c>
      <c r="F279" s="7" t="n">
        <v>33900</v>
      </c>
      <c r="G279" s="7" t="n">
        <v>24700</v>
      </c>
      <c r="H279" s="7" t="n">
        <v>9200</v>
      </c>
      <c r="I279" s="8" t="n">
        <v>0.2713864306784661</v>
      </c>
    </row>
    <row r="280">
      <c r="A280" s="6" t="inlineStr">
        <is>
          <t>2025-03</t>
        </is>
      </c>
      <c r="B280" s="6" t="inlineStr">
        <is>
          <t>营养补给</t>
        </is>
      </c>
      <c r="C280" s="6" t="inlineStr">
        <is>
          <t>西部</t>
        </is>
      </c>
      <c r="D280" s="6" t="inlineStr">
        <is>
          <t>刘强</t>
        </is>
      </c>
      <c r="E280" s="6" t="inlineStr">
        <is>
          <t>超能体育</t>
        </is>
      </c>
      <c r="F280" s="7" t="n">
        <v>30000</v>
      </c>
      <c r="G280" s="7" t="n">
        <v>22200</v>
      </c>
      <c r="H280" s="7" t="n">
        <v>7800</v>
      </c>
      <c r="I280" s="8" t="n">
        <v>0.26</v>
      </c>
    </row>
    <row r="281">
      <c r="A281" s="6" t="inlineStr">
        <is>
          <t>2025-03</t>
        </is>
      </c>
      <c r="B281" s="6" t="inlineStr">
        <is>
          <t>营养补给</t>
        </is>
      </c>
      <c r="C281" s="6" t="inlineStr">
        <is>
          <t>西部</t>
        </is>
      </c>
      <c r="D281" s="6" t="inlineStr">
        <is>
          <t>陈静</t>
        </is>
      </c>
      <c r="E281" s="6" t="inlineStr">
        <is>
          <t>启航健身中心</t>
        </is>
      </c>
      <c r="F281" s="7" t="n">
        <v>28800</v>
      </c>
      <c r="G281" s="7" t="n">
        <v>22300</v>
      </c>
      <c r="H281" s="7" t="n">
        <v>6500</v>
      </c>
      <c r="I281" s="8" t="n">
        <v>0.2256944444444444</v>
      </c>
    </row>
    <row r="282">
      <c r="A282" s="6" t="inlineStr">
        <is>
          <t>2025-03</t>
        </is>
      </c>
      <c r="B282" s="6" t="inlineStr">
        <is>
          <t>智能穿戴</t>
        </is>
      </c>
      <c r="C282" s="6" t="inlineStr">
        <is>
          <t>华东</t>
        </is>
      </c>
      <c r="D282" s="6" t="inlineStr">
        <is>
          <t>张伟</t>
        </is>
      </c>
      <c r="E282" s="6" t="inlineStr">
        <is>
          <t>康威运动商城</t>
        </is>
      </c>
      <c r="F282" s="7" t="n">
        <v>93000</v>
      </c>
      <c r="G282" s="7" t="n">
        <v>59300</v>
      </c>
      <c r="H282" s="7" t="n">
        <v>33700</v>
      </c>
      <c r="I282" s="8" t="n">
        <v>0.3623655913978495</v>
      </c>
    </row>
    <row r="283">
      <c r="A283" s="6" t="inlineStr">
        <is>
          <t>2025-03</t>
        </is>
      </c>
      <c r="B283" s="6" t="inlineStr">
        <is>
          <t>智能穿戴</t>
        </is>
      </c>
      <c r="C283" s="6" t="inlineStr">
        <is>
          <t>华东</t>
        </is>
      </c>
      <c r="D283" s="6" t="inlineStr">
        <is>
          <t>李娜</t>
        </is>
      </c>
      <c r="E283" s="6" t="inlineStr">
        <is>
          <t>动能营养</t>
        </is>
      </c>
      <c r="F283" s="7" t="n">
        <v>92900</v>
      </c>
      <c r="G283" s="7" t="n">
        <v>59000</v>
      </c>
      <c r="H283" s="7" t="n">
        <v>33900</v>
      </c>
      <c r="I283" s="8" t="n">
        <v>0.364908503767492</v>
      </c>
    </row>
    <row r="284">
      <c r="A284" s="6" t="inlineStr">
        <is>
          <t>2025-03</t>
        </is>
      </c>
      <c r="B284" s="6" t="inlineStr">
        <is>
          <t>智能穿戴</t>
        </is>
      </c>
      <c r="C284" s="6" t="inlineStr">
        <is>
          <t>华东</t>
        </is>
      </c>
      <c r="D284" s="6" t="inlineStr">
        <is>
          <t>王芳</t>
        </is>
      </c>
      <c r="E284" s="6" t="inlineStr">
        <is>
          <t>强体体育</t>
        </is>
      </c>
      <c r="F284" s="7" t="n">
        <v>93000</v>
      </c>
      <c r="G284" s="7" t="n">
        <v>55900</v>
      </c>
      <c r="H284" s="7" t="n">
        <v>37100</v>
      </c>
      <c r="I284" s="8" t="n">
        <v>0.3989247311827957</v>
      </c>
    </row>
    <row r="285">
      <c r="A285" s="6" t="inlineStr">
        <is>
          <t>2025-03</t>
        </is>
      </c>
      <c r="B285" s="6" t="inlineStr">
        <is>
          <t>智能穿戴</t>
        </is>
      </c>
      <c r="C285" s="6" t="inlineStr">
        <is>
          <t>华东</t>
        </is>
      </c>
      <c r="D285" s="6" t="inlineStr">
        <is>
          <t>刘强</t>
        </is>
      </c>
      <c r="E285" s="6" t="inlineStr">
        <is>
          <t>恒康营养</t>
        </is>
      </c>
      <c r="F285" s="7" t="n">
        <v>75100</v>
      </c>
      <c r="G285" s="7" t="n">
        <v>46000</v>
      </c>
      <c r="H285" s="7" t="n">
        <v>29100</v>
      </c>
      <c r="I285" s="8" t="n">
        <v>0.3874833555259654</v>
      </c>
    </row>
    <row r="286">
      <c r="A286" s="6" t="inlineStr">
        <is>
          <t>2025-03</t>
        </is>
      </c>
      <c r="B286" s="6" t="inlineStr">
        <is>
          <t>智能穿戴</t>
        </is>
      </c>
      <c r="C286" s="6" t="inlineStr">
        <is>
          <t>华东</t>
        </is>
      </c>
      <c r="D286" s="6" t="inlineStr">
        <is>
          <t>陈静</t>
        </is>
      </c>
      <c r="E286" s="6" t="inlineStr">
        <is>
          <t>风云篮球馆</t>
        </is>
      </c>
      <c r="F286" s="7" t="n">
        <v>84300</v>
      </c>
      <c r="G286" s="7" t="n">
        <v>53400</v>
      </c>
      <c r="H286" s="7" t="n">
        <v>30900</v>
      </c>
      <c r="I286" s="8" t="n">
        <v>0.3665480427046263</v>
      </c>
    </row>
    <row r="287">
      <c r="A287" s="6" t="inlineStr">
        <is>
          <t>2025-03</t>
        </is>
      </c>
      <c r="B287" s="6" t="inlineStr">
        <is>
          <t>智能穿戴</t>
        </is>
      </c>
      <c r="C287" s="6" t="inlineStr">
        <is>
          <t>华北</t>
        </is>
      </c>
      <c r="D287" s="6" t="inlineStr">
        <is>
          <t>张伟</t>
        </is>
      </c>
      <c r="E287" s="6" t="inlineStr">
        <is>
          <t>天天向上健身</t>
        </is>
      </c>
      <c r="F287" s="7" t="n">
        <v>58800</v>
      </c>
      <c r="G287" s="7" t="n">
        <v>37100</v>
      </c>
      <c r="H287" s="7" t="n">
        <v>21700</v>
      </c>
      <c r="I287" s="8" t="n">
        <v>0.3690476190476191</v>
      </c>
    </row>
    <row r="288">
      <c r="A288" s="6" t="inlineStr">
        <is>
          <t>2025-03</t>
        </is>
      </c>
      <c r="B288" s="6" t="inlineStr">
        <is>
          <t>智能穿戴</t>
        </is>
      </c>
      <c r="C288" s="6" t="inlineStr">
        <is>
          <t>华北</t>
        </is>
      </c>
      <c r="D288" s="6" t="inlineStr">
        <is>
          <t>李娜</t>
        </is>
      </c>
      <c r="E288" s="6" t="inlineStr">
        <is>
          <t>雷霆篮球</t>
        </is>
      </c>
      <c r="F288" s="7" t="n">
        <v>67100</v>
      </c>
      <c r="G288" s="7" t="n">
        <v>42500</v>
      </c>
      <c r="H288" s="7" t="n">
        <v>24600</v>
      </c>
      <c r="I288" s="8" t="n">
        <v>0.3666169895678092</v>
      </c>
    </row>
    <row r="289">
      <c r="A289" s="6" t="inlineStr">
        <is>
          <t>2025-03</t>
        </is>
      </c>
      <c r="B289" s="6" t="inlineStr">
        <is>
          <t>智能穿戴</t>
        </is>
      </c>
      <c r="C289" s="6" t="inlineStr">
        <is>
          <t>华北</t>
        </is>
      </c>
      <c r="D289" s="6" t="inlineStr">
        <is>
          <t>王芳</t>
        </is>
      </c>
      <c r="E289" s="6" t="inlineStr">
        <is>
          <t>强体体育</t>
        </is>
      </c>
      <c r="F289" s="7" t="n">
        <v>67000</v>
      </c>
      <c r="G289" s="7" t="n">
        <v>41100</v>
      </c>
      <c r="H289" s="7" t="n">
        <v>25900</v>
      </c>
      <c r="I289" s="8" t="n">
        <v>0.3865671641791045</v>
      </c>
    </row>
    <row r="290">
      <c r="A290" s="6" t="inlineStr">
        <is>
          <t>2025-03</t>
        </is>
      </c>
      <c r="B290" s="6" t="inlineStr">
        <is>
          <t>智能穿戴</t>
        </is>
      </c>
      <c r="C290" s="6" t="inlineStr">
        <is>
          <t>华北</t>
        </is>
      </c>
      <c r="D290" s="6" t="inlineStr">
        <is>
          <t>刘强</t>
        </is>
      </c>
      <c r="E290" s="6" t="inlineStr">
        <is>
          <t>天天向上健身</t>
        </is>
      </c>
      <c r="F290" s="7" t="n">
        <v>58800</v>
      </c>
      <c r="G290" s="7" t="n">
        <v>37300</v>
      </c>
      <c r="H290" s="7" t="n">
        <v>21500</v>
      </c>
      <c r="I290" s="8" t="n">
        <v>0.3656462585034014</v>
      </c>
    </row>
    <row r="291">
      <c r="A291" s="6" t="inlineStr">
        <is>
          <t>2025-03</t>
        </is>
      </c>
      <c r="B291" s="6" t="inlineStr">
        <is>
          <t>智能穿戴</t>
        </is>
      </c>
      <c r="C291" s="6" t="inlineStr">
        <is>
          <t>华北</t>
        </is>
      </c>
      <c r="D291" s="6" t="inlineStr">
        <is>
          <t>陈静</t>
        </is>
      </c>
      <c r="E291" s="6" t="inlineStr">
        <is>
          <t>动能营养</t>
        </is>
      </c>
      <c r="F291" s="7" t="n">
        <v>65300</v>
      </c>
      <c r="G291" s="7" t="n">
        <v>41700</v>
      </c>
      <c r="H291" s="7" t="n">
        <v>23600</v>
      </c>
      <c r="I291" s="8" t="n">
        <v>0.3614088820826952</v>
      </c>
    </row>
    <row r="292">
      <c r="A292" s="6" t="inlineStr">
        <is>
          <t>2025-03</t>
        </is>
      </c>
      <c r="B292" s="6" t="inlineStr">
        <is>
          <t>智能穿戴</t>
        </is>
      </c>
      <c r="C292" s="6" t="inlineStr">
        <is>
          <t>华南</t>
        </is>
      </c>
      <c r="D292" s="6" t="inlineStr">
        <is>
          <t>张伟</t>
        </is>
      </c>
      <c r="E292" s="6" t="inlineStr">
        <is>
          <t>智练体育</t>
        </is>
      </c>
      <c r="F292" s="7" t="n">
        <v>68500</v>
      </c>
      <c r="G292" s="7" t="n">
        <v>42100</v>
      </c>
      <c r="H292" s="7" t="n">
        <v>26400</v>
      </c>
      <c r="I292" s="8" t="n">
        <v>0.3854014598540146</v>
      </c>
    </row>
    <row r="293">
      <c r="A293" s="6" t="inlineStr">
        <is>
          <t>2025-03</t>
        </is>
      </c>
      <c r="B293" s="6" t="inlineStr">
        <is>
          <t>智能穿戴</t>
        </is>
      </c>
      <c r="C293" s="6" t="inlineStr">
        <is>
          <t>华南</t>
        </is>
      </c>
      <c r="D293" s="6" t="inlineStr">
        <is>
          <t>李娜</t>
        </is>
      </c>
      <c r="E293" s="6" t="inlineStr">
        <is>
          <t>风云篮球馆</t>
        </is>
      </c>
      <c r="F293" s="7" t="n">
        <v>68200</v>
      </c>
      <c r="G293" s="7" t="n">
        <v>44100</v>
      </c>
      <c r="H293" s="7" t="n">
        <v>24100</v>
      </c>
      <c r="I293" s="8" t="n">
        <v>0.3533724340175953</v>
      </c>
    </row>
    <row r="294">
      <c r="A294" s="6" t="inlineStr">
        <is>
          <t>2025-03</t>
        </is>
      </c>
      <c r="B294" s="6" t="inlineStr">
        <is>
          <t>智能穿戴</t>
        </is>
      </c>
      <c r="C294" s="6" t="inlineStr">
        <is>
          <t>华南</t>
        </is>
      </c>
      <c r="D294" s="6" t="inlineStr">
        <is>
          <t>王芳</t>
        </is>
      </c>
      <c r="E294" s="6" t="inlineStr">
        <is>
          <t>优加体能中心</t>
        </is>
      </c>
      <c r="F294" s="7" t="n">
        <v>82400</v>
      </c>
      <c r="G294" s="7" t="n">
        <v>51400</v>
      </c>
      <c r="H294" s="7" t="n">
        <v>31000</v>
      </c>
      <c r="I294" s="8" t="n">
        <v>0.3762135922330097</v>
      </c>
    </row>
    <row r="295">
      <c r="A295" s="6" t="inlineStr">
        <is>
          <t>2025-03</t>
        </is>
      </c>
      <c r="B295" s="6" t="inlineStr">
        <is>
          <t>智能穿戴</t>
        </is>
      </c>
      <c r="C295" s="6" t="inlineStr">
        <is>
          <t>华南</t>
        </is>
      </c>
      <c r="D295" s="6" t="inlineStr">
        <is>
          <t>刘强</t>
        </is>
      </c>
      <c r="E295" s="6" t="inlineStr">
        <is>
          <t>童行运动馆</t>
        </is>
      </c>
      <c r="F295" s="7" t="n">
        <v>65100</v>
      </c>
      <c r="G295" s="7" t="n">
        <v>40100</v>
      </c>
      <c r="H295" s="7" t="n">
        <v>25000</v>
      </c>
      <c r="I295" s="8" t="n">
        <v>0.3840245775729647</v>
      </c>
    </row>
    <row r="296">
      <c r="A296" s="6" t="inlineStr">
        <is>
          <t>2025-03</t>
        </is>
      </c>
      <c r="B296" s="6" t="inlineStr">
        <is>
          <t>智能穿戴</t>
        </is>
      </c>
      <c r="C296" s="6" t="inlineStr">
        <is>
          <t>华南</t>
        </is>
      </c>
      <c r="D296" s="6" t="inlineStr">
        <is>
          <t>陈静</t>
        </is>
      </c>
      <c r="E296" s="6" t="inlineStr">
        <is>
          <t>跃动少儿运动馆</t>
        </is>
      </c>
      <c r="F296" s="7" t="n">
        <v>62200</v>
      </c>
      <c r="G296" s="7" t="n">
        <v>37300</v>
      </c>
      <c r="H296" s="7" t="n">
        <v>24900</v>
      </c>
      <c r="I296" s="8" t="n">
        <v>0.4003215434083601</v>
      </c>
    </row>
    <row r="297">
      <c r="A297" s="6" t="inlineStr">
        <is>
          <t>2025-03</t>
        </is>
      </c>
      <c r="B297" s="6" t="inlineStr">
        <is>
          <t>智能穿戴</t>
        </is>
      </c>
      <c r="C297" s="6" t="inlineStr">
        <is>
          <t>西部</t>
        </is>
      </c>
      <c r="D297" s="6" t="inlineStr">
        <is>
          <t>张伟</t>
        </is>
      </c>
      <c r="E297" s="6" t="inlineStr">
        <is>
          <t>冠军之路俱乐部</t>
        </is>
      </c>
      <c r="F297" s="7" t="n">
        <v>51100</v>
      </c>
      <c r="G297" s="7" t="n">
        <v>32500</v>
      </c>
      <c r="H297" s="7" t="n">
        <v>18600</v>
      </c>
      <c r="I297" s="8" t="n">
        <v>0.3639921722113503</v>
      </c>
    </row>
    <row r="298">
      <c r="A298" s="6" t="inlineStr">
        <is>
          <t>2025-03</t>
        </is>
      </c>
      <c r="B298" s="6" t="inlineStr">
        <is>
          <t>智能穿戴</t>
        </is>
      </c>
      <c r="C298" s="6" t="inlineStr">
        <is>
          <t>西部</t>
        </is>
      </c>
      <c r="D298" s="6" t="inlineStr">
        <is>
          <t>李娜</t>
        </is>
      </c>
      <c r="E298" s="6" t="inlineStr">
        <is>
          <t>腾飞体育用品</t>
        </is>
      </c>
      <c r="F298" s="7" t="n">
        <v>53200</v>
      </c>
      <c r="G298" s="7" t="n">
        <v>32600</v>
      </c>
      <c r="H298" s="7" t="n">
        <v>20600</v>
      </c>
      <c r="I298" s="8" t="n">
        <v>0.387218045112782</v>
      </c>
    </row>
    <row r="299">
      <c r="A299" s="6" t="inlineStr">
        <is>
          <t>2025-03</t>
        </is>
      </c>
      <c r="B299" s="6" t="inlineStr">
        <is>
          <t>智能穿戴</t>
        </is>
      </c>
      <c r="C299" s="6" t="inlineStr">
        <is>
          <t>西部</t>
        </is>
      </c>
      <c r="D299" s="6" t="inlineStr">
        <is>
          <t>王芳</t>
        </is>
      </c>
      <c r="E299" s="6" t="inlineStr">
        <is>
          <t>迈步体育</t>
        </is>
      </c>
      <c r="F299" s="7" t="n">
        <v>54100</v>
      </c>
      <c r="G299" s="7" t="n">
        <v>32700</v>
      </c>
      <c r="H299" s="7" t="n">
        <v>21400</v>
      </c>
      <c r="I299" s="8" t="n">
        <v>0.3955637707948244</v>
      </c>
    </row>
    <row r="300">
      <c r="A300" s="6" t="inlineStr">
        <is>
          <t>2025-03</t>
        </is>
      </c>
      <c r="B300" s="6" t="inlineStr">
        <is>
          <t>智能穿戴</t>
        </is>
      </c>
      <c r="C300" s="6" t="inlineStr">
        <is>
          <t>西部</t>
        </is>
      </c>
      <c r="D300" s="6" t="inlineStr">
        <is>
          <t>刘强</t>
        </is>
      </c>
      <c r="E300" s="6" t="inlineStr">
        <is>
          <t>纵横运动</t>
        </is>
      </c>
      <c r="F300" s="7" t="n">
        <v>43500</v>
      </c>
      <c r="G300" s="7" t="n">
        <v>26800</v>
      </c>
      <c r="H300" s="7" t="n">
        <v>16700</v>
      </c>
      <c r="I300" s="8" t="n">
        <v>0.3839080459770115</v>
      </c>
    </row>
    <row r="301">
      <c r="A301" s="6" t="inlineStr">
        <is>
          <t>2025-03</t>
        </is>
      </c>
      <c r="B301" s="6" t="inlineStr">
        <is>
          <t>智能穿戴</t>
        </is>
      </c>
      <c r="C301" s="6" t="inlineStr">
        <is>
          <t>西部</t>
        </is>
      </c>
      <c r="D301" s="6" t="inlineStr">
        <is>
          <t>陈静</t>
        </is>
      </c>
      <c r="E301" s="6" t="inlineStr">
        <is>
          <t>劲爆运动用品</t>
        </is>
      </c>
      <c r="F301" s="7" t="n">
        <v>39700</v>
      </c>
      <c r="G301" s="7" t="n">
        <v>25700</v>
      </c>
      <c r="H301" s="7" t="n">
        <v>14000</v>
      </c>
      <c r="I301" s="8" t="n">
        <v>0.3526448362720403</v>
      </c>
    </row>
    <row r="302">
      <c r="A302" s="6" t="inlineStr">
        <is>
          <t>2025-04</t>
        </is>
      </c>
      <c r="B302" s="6" t="inlineStr">
        <is>
          <t>篮球装备</t>
        </is>
      </c>
      <c r="C302" s="6" t="inlineStr">
        <is>
          <t>华东</t>
        </is>
      </c>
      <c r="D302" s="6" t="inlineStr">
        <is>
          <t>张伟</t>
        </is>
      </c>
      <c r="E302" s="6" t="inlineStr">
        <is>
          <t>动能营养</t>
        </is>
      </c>
      <c r="F302" s="7" t="n">
        <v>104400</v>
      </c>
      <c r="G302" s="7" t="n">
        <v>65500</v>
      </c>
      <c r="H302" s="7" t="n">
        <v>38900</v>
      </c>
      <c r="I302" s="8" t="n">
        <v>0.3726053639846743</v>
      </c>
    </row>
    <row r="303">
      <c r="A303" s="6" t="inlineStr">
        <is>
          <t>2025-04</t>
        </is>
      </c>
      <c r="B303" s="6" t="inlineStr">
        <is>
          <t>篮球装备</t>
        </is>
      </c>
      <c r="C303" s="6" t="inlineStr">
        <is>
          <t>华东</t>
        </is>
      </c>
      <c r="D303" s="6" t="inlineStr">
        <is>
          <t>李娜</t>
        </is>
      </c>
      <c r="E303" s="6" t="inlineStr">
        <is>
          <t>康威运动商城</t>
        </is>
      </c>
      <c r="F303" s="7" t="n">
        <v>119100</v>
      </c>
      <c r="G303" s="7" t="n">
        <v>79500</v>
      </c>
      <c r="H303" s="7" t="n">
        <v>39600</v>
      </c>
      <c r="I303" s="8" t="n">
        <v>0.3324937027707808</v>
      </c>
    </row>
    <row r="304">
      <c r="A304" s="6" t="inlineStr">
        <is>
          <t>2025-04</t>
        </is>
      </c>
      <c r="B304" s="6" t="inlineStr">
        <is>
          <t>篮球装备</t>
        </is>
      </c>
      <c r="C304" s="6" t="inlineStr">
        <is>
          <t>华东</t>
        </is>
      </c>
      <c r="D304" s="6" t="inlineStr">
        <is>
          <t>王芳</t>
        </is>
      </c>
      <c r="E304" s="6" t="inlineStr">
        <is>
          <t>冠军之路俱乐部</t>
        </is>
      </c>
      <c r="F304" s="7" t="n">
        <v>124900</v>
      </c>
      <c r="G304" s="7" t="n">
        <v>81800</v>
      </c>
      <c r="H304" s="7" t="n">
        <v>43100</v>
      </c>
      <c r="I304" s="8" t="n">
        <v>0.3450760608486789</v>
      </c>
    </row>
    <row r="305">
      <c r="A305" s="6" t="inlineStr">
        <is>
          <t>2025-04</t>
        </is>
      </c>
      <c r="B305" s="6" t="inlineStr">
        <is>
          <t>篮球装备</t>
        </is>
      </c>
      <c r="C305" s="6" t="inlineStr">
        <is>
          <t>华东</t>
        </is>
      </c>
      <c r="D305" s="6" t="inlineStr">
        <is>
          <t>刘强</t>
        </is>
      </c>
      <c r="E305" s="6" t="inlineStr">
        <is>
          <t>健将体育</t>
        </is>
      </c>
      <c r="F305" s="7" t="n">
        <v>82400</v>
      </c>
      <c r="G305" s="7" t="n">
        <v>51200</v>
      </c>
      <c r="H305" s="7" t="n">
        <v>31200</v>
      </c>
      <c r="I305" s="8" t="n">
        <v>0.3786407766990291</v>
      </c>
    </row>
    <row r="306">
      <c r="A306" s="6" t="inlineStr">
        <is>
          <t>2025-04</t>
        </is>
      </c>
      <c r="B306" s="6" t="inlineStr">
        <is>
          <t>篮球装备</t>
        </is>
      </c>
      <c r="C306" s="6" t="inlineStr">
        <is>
          <t>华东</t>
        </is>
      </c>
      <c r="D306" s="6" t="inlineStr">
        <is>
          <t>陈静</t>
        </is>
      </c>
      <c r="E306" s="6" t="inlineStr">
        <is>
          <t>健将体育</t>
        </is>
      </c>
      <c r="F306" s="7" t="n">
        <v>101800</v>
      </c>
      <c r="G306" s="7" t="n">
        <v>67600</v>
      </c>
      <c r="H306" s="7" t="n">
        <v>34200</v>
      </c>
      <c r="I306" s="8" t="n">
        <v>0.3359528487229863</v>
      </c>
    </row>
    <row r="307">
      <c r="A307" s="6" t="inlineStr">
        <is>
          <t>2025-04</t>
        </is>
      </c>
      <c r="B307" s="6" t="inlineStr">
        <is>
          <t>篮球装备</t>
        </is>
      </c>
      <c r="C307" s="6" t="inlineStr">
        <is>
          <t>华北</t>
        </is>
      </c>
      <c r="D307" s="6" t="inlineStr">
        <is>
          <t>张伟</t>
        </is>
      </c>
      <c r="E307" s="6" t="inlineStr">
        <is>
          <t>星跃体育</t>
        </is>
      </c>
      <c r="F307" s="7" t="n">
        <v>85600</v>
      </c>
      <c r="G307" s="7" t="n">
        <v>56200</v>
      </c>
      <c r="H307" s="7" t="n">
        <v>29400</v>
      </c>
      <c r="I307" s="8" t="n">
        <v>0.3434579439252337</v>
      </c>
    </row>
    <row r="308">
      <c r="A308" s="6" t="inlineStr">
        <is>
          <t>2025-04</t>
        </is>
      </c>
      <c r="B308" s="6" t="inlineStr">
        <is>
          <t>篮球装备</t>
        </is>
      </c>
      <c r="C308" s="6" t="inlineStr">
        <is>
          <t>华北</t>
        </is>
      </c>
      <c r="D308" s="6" t="inlineStr">
        <is>
          <t>李娜</t>
        </is>
      </c>
      <c r="E308" s="6" t="inlineStr">
        <is>
          <t>卓越体能训练营</t>
        </is>
      </c>
      <c r="F308" s="7" t="n">
        <v>75200</v>
      </c>
      <c r="G308" s="7" t="n">
        <v>47800</v>
      </c>
      <c r="H308" s="7" t="n">
        <v>27400</v>
      </c>
      <c r="I308" s="8" t="n">
        <v>0.3643617021276596</v>
      </c>
    </row>
    <row r="309">
      <c r="A309" s="6" t="inlineStr">
        <is>
          <t>2025-04</t>
        </is>
      </c>
      <c r="B309" s="6" t="inlineStr">
        <is>
          <t>篮球装备</t>
        </is>
      </c>
      <c r="C309" s="6" t="inlineStr">
        <is>
          <t>华北</t>
        </is>
      </c>
      <c r="D309" s="6" t="inlineStr">
        <is>
          <t>王芳</t>
        </is>
      </c>
      <c r="E309" s="6" t="inlineStr">
        <is>
          <t>劲爆运动用品</t>
        </is>
      </c>
      <c r="F309" s="7" t="n">
        <v>90200</v>
      </c>
      <c r="G309" s="7" t="n">
        <v>56800</v>
      </c>
      <c r="H309" s="7" t="n">
        <v>33400</v>
      </c>
      <c r="I309" s="8" t="n">
        <v>0.3702882483370288</v>
      </c>
    </row>
    <row r="310">
      <c r="A310" s="6" t="inlineStr">
        <is>
          <t>2025-04</t>
        </is>
      </c>
      <c r="B310" s="6" t="inlineStr">
        <is>
          <t>篮球装备</t>
        </is>
      </c>
      <c r="C310" s="6" t="inlineStr">
        <is>
          <t>华北</t>
        </is>
      </c>
      <c r="D310" s="6" t="inlineStr">
        <is>
          <t>刘强</t>
        </is>
      </c>
      <c r="E310" s="6" t="inlineStr">
        <is>
          <t>天天向上健身</t>
        </is>
      </c>
      <c r="F310" s="7" t="n">
        <v>77500</v>
      </c>
      <c r="G310" s="7" t="n">
        <v>48600</v>
      </c>
      <c r="H310" s="7" t="n">
        <v>28900</v>
      </c>
      <c r="I310" s="8" t="n">
        <v>0.3729032258064516</v>
      </c>
    </row>
    <row r="311">
      <c r="A311" s="6" t="inlineStr">
        <is>
          <t>2025-04</t>
        </is>
      </c>
      <c r="B311" s="6" t="inlineStr">
        <is>
          <t>篮球装备</t>
        </is>
      </c>
      <c r="C311" s="6" t="inlineStr">
        <is>
          <t>华北</t>
        </is>
      </c>
      <c r="D311" s="6" t="inlineStr">
        <is>
          <t>陈静</t>
        </is>
      </c>
      <c r="E311" s="6" t="inlineStr">
        <is>
          <t>跃动少儿运动馆</t>
        </is>
      </c>
      <c r="F311" s="7" t="n">
        <v>85100</v>
      </c>
      <c r="G311" s="7" t="n">
        <v>55100</v>
      </c>
      <c r="H311" s="7" t="n">
        <v>30000</v>
      </c>
      <c r="I311" s="8" t="n">
        <v>0.3525264394829612</v>
      </c>
    </row>
    <row r="312">
      <c r="A312" s="6" t="inlineStr">
        <is>
          <t>2025-04</t>
        </is>
      </c>
      <c r="B312" s="6" t="inlineStr">
        <is>
          <t>篮球装备</t>
        </is>
      </c>
      <c r="C312" s="6" t="inlineStr">
        <is>
          <t>华南</t>
        </is>
      </c>
      <c r="D312" s="6" t="inlineStr">
        <is>
          <t>张伟</t>
        </is>
      </c>
      <c r="E312" s="6" t="inlineStr">
        <is>
          <t>锋行体育</t>
        </is>
      </c>
      <c r="F312" s="7" t="n">
        <v>92600</v>
      </c>
      <c r="G312" s="7" t="n">
        <v>61300</v>
      </c>
      <c r="H312" s="7" t="n">
        <v>31300</v>
      </c>
      <c r="I312" s="8" t="n">
        <v>0.3380129589632829</v>
      </c>
    </row>
    <row r="313">
      <c r="A313" s="6" t="inlineStr">
        <is>
          <t>2025-04</t>
        </is>
      </c>
      <c r="B313" s="6" t="inlineStr">
        <is>
          <t>篮球装备</t>
        </is>
      </c>
      <c r="C313" s="6" t="inlineStr">
        <is>
          <t>华南</t>
        </is>
      </c>
      <c r="D313" s="6" t="inlineStr">
        <is>
          <t>李娜</t>
        </is>
      </c>
      <c r="E313" s="6" t="inlineStr">
        <is>
          <t>童行运动馆</t>
        </is>
      </c>
      <c r="F313" s="7" t="n">
        <v>81700</v>
      </c>
      <c r="G313" s="7" t="n">
        <v>55000</v>
      </c>
      <c r="H313" s="7" t="n">
        <v>26700</v>
      </c>
      <c r="I313" s="8" t="n">
        <v>0.3268053855569155</v>
      </c>
    </row>
    <row r="314">
      <c r="A314" s="6" t="inlineStr">
        <is>
          <t>2025-04</t>
        </is>
      </c>
      <c r="B314" s="6" t="inlineStr">
        <is>
          <t>篮球装备</t>
        </is>
      </c>
      <c r="C314" s="6" t="inlineStr">
        <is>
          <t>华南</t>
        </is>
      </c>
      <c r="D314" s="6" t="inlineStr">
        <is>
          <t>王芳</t>
        </is>
      </c>
      <c r="E314" s="6" t="inlineStr">
        <is>
          <t>纵横运动</t>
        </is>
      </c>
      <c r="F314" s="7" t="n">
        <v>97300</v>
      </c>
      <c r="G314" s="7" t="n">
        <v>61700</v>
      </c>
      <c r="H314" s="7" t="n">
        <v>35600</v>
      </c>
      <c r="I314" s="8" t="n">
        <v>0.3658787255909558</v>
      </c>
    </row>
    <row r="315">
      <c r="A315" s="6" t="inlineStr">
        <is>
          <t>2025-04</t>
        </is>
      </c>
      <c r="B315" s="6" t="inlineStr">
        <is>
          <t>篮球装备</t>
        </is>
      </c>
      <c r="C315" s="6" t="inlineStr">
        <is>
          <t>华南</t>
        </is>
      </c>
      <c r="D315" s="6" t="inlineStr">
        <is>
          <t>刘强</t>
        </is>
      </c>
      <c r="E315" s="6" t="inlineStr">
        <is>
          <t>冠军之路俱乐部</t>
        </is>
      </c>
      <c r="F315" s="7" t="n">
        <v>70500</v>
      </c>
      <c r="G315" s="7" t="n">
        <v>44000</v>
      </c>
      <c r="H315" s="7" t="n">
        <v>26500</v>
      </c>
      <c r="I315" s="8" t="n">
        <v>0.375886524822695</v>
      </c>
    </row>
    <row r="316">
      <c r="A316" s="6" t="inlineStr">
        <is>
          <t>2025-04</t>
        </is>
      </c>
      <c r="B316" s="6" t="inlineStr">
        <is>
          <t>篮球装备</t>
        </is>
      </c>
      <c r="C316" s="6" t="inlineStr">
        <is>
          <t>华南</t>
        </is>
      </c>
      <c r="D316" s="6" t="inlineStr">
        <is>
          <t>陈静</t>
        </is>
      </c>
      <c r="E316" s="6" t="inlineStr">
        <is>
          <t>腾飞体育用品</t>
        </is>
      </c>
      <c r="F316" s="7" t="n">
        <v>75600</v>
      </c>
      <c r="G316" s="7" t="n">
        <v>47500</v>
      </c>
      <c r="H316" s="7" t="n">
        <v>28100</v>
      </c>
      <c r="I316" s="8" t="n">
        <v>0.3716931216931217</v>
      </c>
    </row>
    <row r="317">
      <c r="A317" s="6" t="inlineStr">
        <is>
          <t>2025-04</t>
        </is>
      </c>
      <c r="B317" s="6" t="inlineStr">
        <is>
          <t>篮球装备</t>
        </is>
      </c>
      <c r="C317" s="6" t="inlineStr">
        <is>
          <t>西部</t>
        </is>
      </c>
      <c r="D317" s="6" t="inlineStr">
        <is>
          <t>张伟</t>
        </is>
      </c>
      <c r="E317" s="6" t="inlineStr">
        <is>
          <t>篮途体育文化</t>
        </is>
      </c>
      <c r="F317" s="7" t="n">
        <v>50900</v>
      </c>
      <c r="G317" s="7" t="n">
        <v>34600</v>
      </c>
      <c r="H317" s="7" t="n">
        <v>16300</v>
      </c>
      <c r="I317" s="8" t="n">
        <v>0.3202357563850687</v>
      </c>
    </row>
    <row r="318">
      <c r="A318" s="6" t="inlineStr">
        <is>
          <t>2025-04</t>
        </is>
      </c>
      <c r="B318" s="6" t="inlineStr">
        <is>
          <t>篮球装备</t>
        </is>
      </c>
      <c r="C318" s="6" t="inlineStr">
        <is>
          <t>西部</t>
        </is>
      </c>
      <c r="D318" s="6" t="inlineStr">
        <is>
          <t>李娜</t>
        </is>
      </c>
      <c r="E318" s="6" t="inlineStr">
        <is>
          <t>风尚健身</t>
        </is>
      </c>
      <c r="F318" s="7" t="n">
        <v>56200</v>
      </c>
      <c r="G318" s="7" t="n">
        <v>35400</v>
      </c>
      <c r="H318" s="7" t="n">
        <v>20800</v>
      </c>
      <c r="I318" s="8" t="n">
        <v>0.3701067615658363</v>
      </c>
    </row>
    <row r="319">
      <c r="A319" s="6" t="inlineStr">
        <is>
          <t>2025-04</t>
        </is>
      </c>
      <c r="B319" s="6" t="inlineStr">
        <is>
          <t>篮球装备</t>
        </is>
      </c>
      <c r="C319" s="6" t="inlineStr">
        <is>
          <t>西部</t>
        </is>
      </c>
      <c r="D319" s="6" t="inlineStr">
        <is>
          <t>王芳</t>
        </is>
      </c>
      <c r="E319" s="6" t="inlineStr">
        <is>
          <t>启航健身中心</t>
        </is>
      </c>
      <c r="F319" s="7" t="n">
        <v>58900</v>
      </c>
      <c r="G319" s="7" t="n">
        <v>38500</v>
      </c>
      <c r="H319" s="7" t="n">
        <v>20400</v>
      </c>
      <c r="I319" s="8" t="n">
        <v>0.3463497453310696</v>
      </c>
    </row>
    <row r="320">
      <c r="A320" s="6" t="inlineStr">
        <is>
          <t>2025-04</t>
        </is>
      </c>
      <c r="B320" s="6" t="inlineStr">
        <is>
          <t>篮球装备</t>
        </is>
      </c>
      <c r="C320" s="6" t="inlineStr">
        <is>
          <t>西部</t>
        </is>
      </c>
      <c r="D320" s="6" t="inlineStr">
        <is>
          <t>刘强</t>
        </is>
      </c>
      <c r="E320" s="6" t="inlineStr">
        <is>
          <t>阳光体能</t>
        </is>
      </c>
      <c r="F320" s="7" t="n">
        <v>56100</v>
      </c>
      <c r="G320" s="7" t="n">
        <v>36500</v>
      </c>
      <c r="H320" s="7" t="n">
        <v>19600</v>
      </c>
      <c r="I320" s="8" t="n">
        <v>0.3493761140819964</v>
      </c>
    </row>
    <row r="321">
      <c r="A321" s="6" t="inlineStr">
        <is>
          <t>2025-04</t>
        </is>
      </c>
      <c r="B321" s="6" t="inlineStr">
        <is>
          <t>篮球装备</t>
        </is>
      </c>
      <c r="C321" s="6" t="inlineStr">
        <is>
          <t>西部</t>
        </is>
      </c>
      <c r="D321" s="6" t="inlineStr">
        <is>
          <t>陈静</t>
        </is>
      </c>
      <c r="E321" s="6" t="inlineStr">
        <is>
          <t>超能体育</t>
        </is>
      </c>
      <c r="F321" s="7" t="n">
        <v>59600</v>
      </c>
      <c r="G321" s="7" t="n">
        <v>38500</v>
      </c>
      <c r="H321" s="7" t="n">
        <v>21100</v>
      </c>
      <c r="I321" s="8" t="n">
        <v>0.3540268456375839</v>
      </c>
    </row>
    <row r="322">
      <c r="A322" s="6" t="inlineStr">
        <is>
          <t>2025-04</t>
        </is>
      </c>
      <c r="B322" s="6" t="inlineStr">
        <is>
          <t>体适能器材</t>
        </is>
      </c>
      <c r="C322" s="6" t="inlineStr">
        <is>
          <t>华东</t>
        </is>
      </c>
      <c r="D322" s="6" t="inlineStr">
        <is>
          <t>张伟</t>
        </is>
      </c>
      <c r="E322" s="6" t="inlineStr">
        <is>
          <t>飞跃训练营</t>
        </is>
      </c>
      <c r="F322" s="7" t="n">
        <v>82000</v>
      </c>
      <c r="G322" s="7" t="n">
        <v>57500</v>
      </c>
      <c r="H322" s="7" t="n">
        <v>24500</v>
      </c>
      <c r="I322" s="8" t="n">
        <v>0.298780487804878</v>
      </c>
    </row>
    <row r="323">
      <c r="A323" s="6" t="inlineStr">
        <is>
          <t>2025-04</t>
        </is>
      </c>
      <c r="B323" s="6" t="inlineStr">
        <is>
          <t>体适能器材</t>
        </is>
      </c>
      <c r="C323" s="6" t="inlineStr">
        <is>
          <t>华东</t>
        </is>
      </c>
      <c r="D323" s="6" t="inlineStr">
        <is>
          <t>李娜</t>
        </is>
      </c>
      <c r="E323" s="6" t="inlineStr">
        <is>
          <t>活力无限健身</t>
        </is>
      </c>
      <c r="F323" s="7" t="n">
        <v>76300</v>
      </c>
      <c r="G323" s="7" t="n">
        <v>54000</v>
      </c>
      <c r="H323" s="7" t="n">
        <v>22300</v>
      </c>
      <c r="I323" s="8" t="n">
        <v>0.2922673656618611</v>
      </c>
    </row>
    <row r="324">
      <c r="A324" s="6" t="inlineStr">
        <is>
          <t>2025-04</t>
        </is>
      </c>
      <c r="B324" s="6" t="inlineStr">
        <is>
          <t>体适能器材</t>
        </is>
      </c>
      <c r="C324" s="6" t="inlineStr">
        <is>
          <t>华东</t>
        </is>
      </c>
      <c r="D324" s="6" t="inlineStr">
        <is>
          <t>王芳</t>
        </is>
      </c>
      <c r="E324" s="6" t="inlineStr">
        <is>
          <t>阳光体能</t>
        </is>
      </c>
      <c r="F324" s="7" t="n">
        <v>78800</v>
      </c>
      <c r="G324" s="7" t="n">
        <v>52800</v>
      </c>
      <c r="H324" s="7" t="n">
        <v>26000</v>
      </c>
      <c r="I324" s="8" t="n">
        <v>0.3299492385786802</v>
      </c>
    </row>
    <row r="325">
      <c r="A325" s="6" t="inlineStr">
        <is>
          <t>2025-04</t>
        </is>
      </c>
      <c r="B325" s="6" t="inlineStr">
        <is>
          <t>体适能器材</t>
        </is>
      </c>
      <c r="C325" s="6" t="inlineStr">
        <is>
          <t>华东</t>
        </is>
      </c>
      <c r="D325" s="6" t="inlineStr">
        <is>
          <t>刘强</t>
        </is>
      </c>
      <c r="E325" s="6" t="inlineStr">
        <is>
          <t>环宇体育</t>
        </is>
      </c>
      <c r="F325" s="7" t="n">
        <v>82500</v>
      </c>
      <c r="G325" s="7" t="n">
        <v>55800</v>
      </c>
      <c r="H325" s="7" t="n">
        <v>26700</v>
      </c>
      <c r="I325" s="8" t="n">
        <v>0.3236363636363636</v>
      </c>
    </row>
    <row r="326">
      <c r="A326" s="6" t="inlineStr">
        <is>
          <t>2025-04</t>
        </is>
      </c>
      <c r="B326" s="6" t="inlineStr">
        <is>
          <t>体适能器材</t>
        </is>
      </c>
      <c r="C326" s="6" t="inlineStr">
        <is>
          <t>华东</t>
        </is>
      </c>
      <c r="D326" s="6" t="inlineStr">
        <is>
          <t>陈静</t>
        </is>
      </c>
      <c r="E326" s="6" t="inlineStr">
        <is>
          <t>强体体育</t>
        </is>
      </c>
      <c r="F326" s="7" t="n">
        <v>67700</v>
      </c>
      <c r="G326" s="7" t="n">
        <v>48500</v>
      </c>
      <c r="H326" s="7" t="n">
        <v>19200</v>
      </c>
      <c r="I326" s="8" t="n">
        <v>0.2836041358936485</v>
      </c>
    </row>
    <row r="327">
      <c r="A327" s="6" t="inlineStr">
        <is>
          <t>2025-04</t>
        </is>
      </c>
      <c r="B327" s="6" t="inlineStr">
        <is>
          <t>体适能器材</t>
        </is>
      </c>
      <c r="C327" s="6" t="inlineStr">
        <is>
          <t>华北</t>
        </is>
      </c>
      <c r="D327" s="6" t="inlineStr">
        <is>
          <t>张伟</t>
        </is>
      </c>
      <c r="E327" s="6" t="inlineStr">
        <is>
          <t>乐动体育</t>
        </is>
      </c>
      <c r="F327" s="7" t="n">
        <v>66900</v>
      </c>
      <c r="G327" s="7" t="n">
        <v>48000</v>
      </c>
      <c r="H327" s="7" t="n">
        <v>18900</v>
      </c>
      <c r="I327" s="8" t="n">
        <v>0.2825112107623318</v>
      </c>
    </row>
    <row r="328">
      <c r="A328" s="6" t="inlineStr">
        <is>
          <t>2025-04</t>
        </is>
      </c>
      <c r="B328" s="6" t="inlineStr">
        <is>
          <t>体适能器材</t>
        </is>
      </c>
      <c r="C328" s="6" t="inlineStr">
        <is>
          <t>华北</t>
        </is>
      </c>
      <c r="D328" s="6" t="inlineStr">
        <is>
          <t>李娜</t>
        </is>
      </c>
      <c r="E328" s="6" t="inlineStr">
        <is>
          <t>活力无限健身</t>
        </is>
      </c>
      <c r="F328" s="7" t="n">
        <v>61400</v>
      </c>
      <c r="G328" s="7" t="n">
        <v>43000</v>
      </c>
      <c r="H328" s="7" t="n">
        <v>18400</v>
      </c>
      <c r="I328" s="8" t="n">
        <v>0.2996742671009772</v>
      </c>
    </row>
    <row r="329">
      <c r="A329" s="6" t="inlineStr">
        <is>
          <t>2025-04</t>
        </is>
      </c>
      <c r="B329" s="6" t="inlineStr">
        <is>
          <t>体适能器材</t>
        </is>
      </c>
      <c r="C329" s="6" t="inlineStr">
        <is>
          <t>华北</t>
        </is>
      </c>
      <c r="D329" s="6" t="inlineStr">
        <is>
          <t>王芳</t>
        </is>
      </c>
      <c r="E329" s="6" t="inlineStr">
        <is>
          <t>活力无限健身</t>
        </is>
      </c>
      <c r="F329" s="7" t="n">
        <v>59600</v>
      </c>
      <c r="G329" s="7" t="n">
        <v>40600</v>
      </c>
      <c r="H329" s="7" t="n">
        <v>19000</v>
      </c>
      <c r="I329" s="8" t="n">
        <v>0.3187919463087248</v>
      </c>
    </row>
    <row r="330">
      <c r="A330" s="6" t="inlineStr">
        <is>
          <t>2025-04</t>
        </is>
      </c>
      <c r="B330" s="6" t="inlineStr">
        <is>
          <t>体适能器材</t>
        </is>
      </c>
      <c r="C330" s="6" t="inlineStr">
        <is>
          <t>华北</t>
        </is>
      </c>
      <c r="D330" s="6" t="inlineStr">
        <is>
          <t>刘强</t>
        </is>
      </c>
      <c r="E330" s="6" t="inlineStr">
        <is>
          <t>小飞侠运动俱乐部</t>
        </is>
      </c>
      <c r="F330" s="7" t="n">
        <v>52800</v>
      </c>
      <c r="G330" s="7" t="n">
        <v>37900</v>
      </c>
      <c r="H330" s="7" t="n">
        <v>14900</v>
      </c>
      <c r="I330" s="8" t="n">
        <v>0.2821969696969697</v>
      </c>
    </row>
    <row r="331">
      <c r="A331" s="6" t="inlineStr">
        <is>
          <t>2025-04</t>
        </is>
      </c>
      <c r="B331" s="6" t="inlineStr">
        <is>
          <t>体适能器材</t>
        </is>
      </c>
      <c r="C331" s="6" t="inlineStr">
        <is>
          <t>华北</t>
        </is>
      </c>
      <c r="D331" s="6" t="inlineStr">
        <is>
          <t>陈静</t>
        </is>
      </c>
      <c r="E331" s="6" t="inlineStr">
        <is>
          <t>活力无限健身</t>
        </is>
      </c>
      <c r="F331" s="7" t="n">
        <v>56000</v>
      </c>
      <c r="G331" s="7" t="n">
        <v>37600</v>
      </c>
      <c r="H331" s="7" t="n">
        <v>18400</v>
      </c>
      <c r="I331" s="8" t="n">
        <v>0.3285714285714286</v>
      </c>
    </row>
    <row r="332">
      <c r="A332" s="6" t="inlineStr">
        <is>
          <t>2025-04</t>
        </is>
      </c>
      <c r="B332" s="6" t="inlineStr">
        <is>
          <t>体适能器材</t>
        </is>
      </c>
      <c r="C332" s="6" t="inlineStr">
        <is>
          <t>华南</t>
        </is>
      </c>
      <c r="D332" s="6" t="inlineStr">
        <is>
          <t>张伟</t>
        </is>
      </c>
      <c r="E332" s="6" t="inlineStr">
        <is>
          <t>茁长少儿体适能</t>
        </is>
      </c>
      <c r="F332" s="7" t="n">
        <v>66800</v>
      </c>
      <c r="G332" s="7" t="n">
        <v>45700</v>
      </c>
      <c r="H332" s="7" t="n">
        <v>21100</v>
      </c>
      <c r="I332" s="8" t="n">
        <v>0.3158682634730539</v>
      </c>
    </row>
    <row r="333">
      <c r="A333" s="6" t="inlineStr">
        <is>
          <t>2025-04</t>
        </is>
      </c>
      <c r="B333" s="6" t="inlineStr">
        <is>
          <t>体适能器材</t>
        </is>
      </c>
      <c r="C333" s="6" t="inlineStr">
        <is>
          <t>华南</t>
        </is>
      </c>
      <c r="D333" s="6" t="inlineStr">
        <is>
          <t>李娜</t>
        </is>
      </c>
      <c r="E333" s="6" t="inlineStr">
        <is>
          <t>星跃体育</t>
        </is>
      </c>
      <c r="F333" s="7" t="n">
        <v>60900</v>
      </c>
      <c r="G333" s="7" t="n">
        <v>41800</v>
      </c>
      <c r="H333" s="7" t="n">
        <v>19100</v>
      </c>
      <c r="I333" s="8" t="n">
        <v>0.3136288998357964</v>
      </c>
    </row>
    <row r="334">
      <c r="A334" s="6" t="inlineStr">
        <is>
          <t>2025-04</t>
        </is>
      </c>
      <c r="B334" s="6" t="inlineStr">
        <is>
          <t>体适能器材</t>
        </is>
      </c>
      <c r="C334" s="6" t="inlineStr">
        <is>
          <t>华南</t>
        </is>
      </c>
      <c r="D334" s="6" t="inlineStr">
        <is>
          <t>王芳</t>
        </is>
      </c>
      <c r="E334" s="6" t="inlineStr">
        <is>
          <t>启航健身中心</t>
        </is>
      </c>
      <c r="F334" s="7" t="n">
        <v>59100</v>
      </c>
      <c r="G334" s="7" t="n">
        <v>40900</v>
      </c>
      <c r="H334" s="7" t="n">
        <v>18200</v>
      </c>
      <c r="I334" s="8" t="n">
        <v>0.3079526226734349</v>
      </c>
    </row>
    <row r="335">
      <c r="A335" s="6" t="inlineStr">
        <is>
          <t>2025-04</t>
        </is>
      </c>
      <c r="B335" s="6" t="inlineStr">
        <is>
          <t>体适能器材</t>
        </is>
      </c>
      <c r="C335" s="6" t="inlineStr">
        <is>
          <t>华南</t>
        </is>
      </c>
      <c r="D335" s="6" t="inlineStr">
        <is>
          <t>刘强</t>
        </is>
      </c>
      <c r="E335" s="6" t="inlineStr">
        <is>
          <t>健将体育</t>
        </is>
      </c>
      <c r="F335" s="7" t="n">
        <v>58000</v>
      </c>
      <c r="G335" s="7" t="n">
        <v>39600</v>
      </c>
      <c r="H335" s="7" t="n">
        <v>18400</v>
      </c>
      <c r="I335" s="8" t="n">
        <v>0.3172413793103449</v>
      </c>
    </row>
    <row r="336">
      <c r="A336" s="6" t="inlineStr">
        <is>
          <t>2025-04</t>
        </is>
      </c>
      <c r="B336" s="6" t="inlineStr">
        <is>
          <t>体适能器材</t>
        </is>
      </c>
      <c r="C336" s="6" t="inlineStr">
        <is>
          <t>华南</t>
        </is>
      </c>
      <c r="D336" s="6" t="inlineStr">
        <is>
          <t>陈静</t>
        </is>
      </c>
      <c r="E336" s="6" t="inlineStr">
        <is>
          <t>健将体育</t>
        </is>
      </c>
      <c r="F336" s="7" t="n">
        <v>55900</v>
      </c>
      <c r="G336" s="7" t="n">
        <v>40500</v>
      </c>
      <c r="H336" s="7" t="n">
        <v>15400</v>
      </c>
      <c r="I336" s="8" t="n">
        <v>0.2754919499105545</v>
      </c>
    </row>
    <row r="337">
      <c r="A337" s="6" t="inlineStr">
        <is>
          <t>2025-04</t>
        </is>
      </c>
      <c r="B337" s="6" t="inlineStr">
        <is>
          <t>体适能器材</t>
        </is>
      </c>
      <c r="C337" s="6" t="inlineStr">
        <is>
          <t>西部</t>
        </is>
      </c>
      <c r="D337" s="6" t="inlineStr">
        <is>
          <t>张伟</t>
        </is>
      </c>
      <c r="E337" s="6" t="inlineStr">
        <is>
          <t>锋行体育</t>
        </is>
      </c>
      <c r="F337" s="7" t="n">
        <v>43700</v>
      </c>
      <c r="G337" s="7" t="n">
        <v>30800</v>
      </c>
      <c r="H337" s="7" t="n">
        <v>12900</v>
      </c>
      <c r="I337" s="8" t="n">
        <v>0.2951945080091533</v>
      </c>
    </row>
    <row r="338">
      <c r="A338" s="6" t="inlineStr">
        <is>
          <t>2025-04</t>
        </is>
      </c>
      <c r="B338" s="6" t="inlineStr">
        <is>
          <t>体适能器材</t>
        </is>
      </c>
      <c r="C338" s="6" t="inlineStr">
        <is>
          <t>西部</t>
        </is>
      </c>
      <c r="D338" s="6" t="inlineStr">
        <is>
          <t>李娜</t>
        </is>
      </c>
      <c r="E338" s="6" t="inlineStr">
        <is>
          <t>健将体育</t>
        </is>
      </c>
      <c r="F338" s="7" t="n">
        <v>46300</v>
      </c>
      <c r="G338" s="7" t="n">
        <v>33200</v>
      </c>
      <c r="H338" s="7" t="n">
        <v>13100</v>
      </c>
      <c r="I338" s="8" t="n">
        <v>0.2829373650107991</v>
      </c>
    </row>
    <row r="339">
      <c r="A339" s="6" t="inlineStr">
        <is>
          <t>2025-04</t>
        </is>
      </c>
      <c r="B339" s="6" t="inlineStr">
        <is>
          <t>体适能器材</t>
        </is>
      </c>
      <c r="C339" s="6" t="inlineStr">
        <is>
          <t>西部</t>
        </is>
      </c>
      <c r="D339" s="6" t="inlineStr">
        <is>
          <t>王芳</t>
        </is>
      </c>
      <c r="E339" s="6" t="inlineStr">
        <is>
          <t>篮途体育文化</t>
        </is>
      </c>
      <c r="F339" s="7" t="n">
        <v>43300</v>
      </c>
      <c r="G339" s="7" t="n">
        <v>30500</v>
      </c>
      <c r="H339" s="7" t="n">
        <v>12800</v>
      </c>
      <c r="I339" s="8" t="n">
        <v>0.2956120092378753</v>
      </c>
    </row>
    <row r="340">
      <c r="A340" s="6" t="inlineStr">
        <is>
          <t>2025-04</t>
        </is>
      </c>
      <c r="B340" s="6" t="inlineStr">
        <is>
          <t>体适能器材</t>
        </is>
      </c>
      <c r="C340" s="6" t="inlineStr">
        <is>
          <t>西部</t>
        </is>
      </c>
      <c r="D340" s="6" t="inlineStr">
        <is>
          <t>刘强</t>
        </is>
      </c>
      <c r="E340" s="6" t="inlineStr">
        <is>
          <t>冠军之路俱乐部</t>
        </is>
      </c>
      <c r="F340" s="7" t="n">
        <v>42600</v>
      </c>
      <c r="G340" s="7" t="n">
        <v>29500</v>
      </c>
      <c r="H340" s="7" t="n">
        <v>13100</v>
      </c>
      <c r="I340" s="8" t="n">
        <v>0.3075117370892019</v>
      </c>
    </row>
    <row r="341">
      <c r="A341" s="6" t="inlineStr">
        <is>
          <t>2025-04</t>
        </is>
      </c>
      <c r="B341" s="6" t="inlineStr">
        <is>
          <t>体适能器材</t>
        </is>
      </c>
      <c r="C341" s="6" t="inlineStr">
        <is>
          <t>西部</t>
        </is>
      </c>
      <c r="D341" s="6" t="inlineStr">
        <is>
          <t>陈静</t>
        </is>
      </c>
      <c r="E341" s="6" t="inlineStr">
        <is>
          <t>纵横运动</t>
        </is>
      </c>
      <c r="F341" s="7" t="n">
        <v>40000</v>
      </c>
      <c r="G341" s="7" t="n">
        <v>28100</v>
      </c>
      <c r="H341" s="7" t="n">
        <v>11900</v>
      </c>
      <c r="I341" s="8" t="n">
        <v>0.2975</v>
      </c>
    </row>
    <row r="342">
      <c r="A342" s="6" t="inlineStr">
        <is>
          <t>2025-04</t>
        </is>
      </c>
      <c r="B342" s="6" t="inlineStr">
        <is>
          <t>训练服饰</t>
        </is>
      </c>
      <c r="C342" s="6" t="inlineStr">
        <is>
          <t>华东</t>
        </is>
      </c>
      <c r="D342" s="6" t="inlineStr">
        <is>
          <t>张伟</t>
        </is>
      </c>
      <c r="E342" s="6" t="inlineStr">
        <is>
          <t>冠军之路俱乐部</t>
        </is>
      </c>
      <c r="F342" s="7" t="n">
        <v>58200</v>
      </c>
      <c r="G342" s="7" t="n">
        <v>32500</v>
      </c>
      <c r="H342" s="7" t="n">
        <v>25700</v>
      </c>
      <c r="I342" s="8" t="n">
        <v>0.4415807560137457</v>
      </c>
    </row>
    <row r="343">
      <c r="A343" s="6" t="inlineStr">
        <is>
          <t>2025-04</t>
        </is>
      </c>
      <c r="B343" s="6" t="inlineStr">
        <is>
          <t>训练服饰</t>
        </is>
      </c>
      <c r="C343" s="6" t="inlineStr">
        <is>
          <t>华东</t>
        </is>
      </c>
      <c r="D343" s="6" t="inlineStr">
        <is>
          <t>李娜</t>
        </is>
      </c>
      <c r="E343" s="6" t="inlineStr">
        <is>
          <t>腾飞体育用品</t>
        </is>
      </c>
      <c r="F343" s="7" t="n">
        <v>45000</v>
      </c>
      <c r="G343" s="7" t="n">
        <v>24400</v>
      </c>
      <c r="H343" s="7" t="n">
        <v>20600</v>
      </c>
      <c r="I343" s="8" t="n">
        <v>0.4577777777777778</v>
      </c>
    </row>
    <row r="344">
      <c r="A344" s="6" t="inlineStr">
        <is>
          <t>2025-04</t>
        </is>
      </c>
      <c r="B344" s="6" t="inlineStr">
        <is>
          <t>训练服饰</t>
        </is>
      </c>
      <c r="C344" s="6" t="inlineStr">
        <is>
          <t>华东</t>
        </is>
      </c>
      <c r="D344" s="6" t="inlineStr">
        <is>
          <t>王芳</t>
        </is>
      </c>
      <c r="E344" s="6" t="inlineStr">
        <is>
          <t>天天向上健身</t>
        </is>
      </c>
      <c r="F344" s="7" t="n">
        <v>51500</v>
      </c>
      <c r="G344" s="7" t="n">
        <v>27400</v>
      </c>
      <c r="H344" s="7" t="n">
        <v>24100</v>
      </c>
      <c r="I344" s="8" t="n">
        <v>0.4679611650485437</v>
      </c>
    </row>
    <row r="345">
      <c r="A345" s="6" t="inlineStr">
        <is>
          <t>2025-04</t>
        </is>
      </c>
      <c r="B345" s="6" t="inlineStr">
        <is>
          <t>训练服饰</t>
        </is>
      </c>
      <c r="C345" s="6" t="inlineStr">
        <is>
          <t>华东</t>
        </is>
      </c>
      <c r="D345" s="6" t="inlineStr">
        <is>
          <t>刘强</t>
        </is>
      </c>
      <c r="E345" s="6" t="inlineStr">
        <is>
          <t>优加体能中心</t>
        </is>
      </c>
      <c r="F345" s="7" t="n">
        <v>43100</v>
      </c>
      <c r="G345" s="7" t="n">
        <v>24200</v>
      </c>
      <c r="H345" s="7" t="n">
        <v>18900</v>
      </c>
      <c r="I345" s="8" t="n">
        <v>0.4385150812064965</v>
      </c>
    </row>
    <row r="346">
      <c r="A346" s="6" t="inlineStr">
        <is>
          <t>2025-04</t>
        </is>
      </c>
      <c r="B346" s="6" t="inlineStr">
        <is>
          <t>训练服饰</t>
        </is>
      </c>
      <c r="C346" s="6" t="inlineStr">
        <is>
          <t>华东</t>
        </is>
      </c>
      <c r="D346" s="6" t="inlineStr">
        <is>
          <t>陈静</t>
        </is>
      </c>
      <c r="E346" s="6" t="inlineStr">
        <is>
          <t>天天向上健身</t>
        </is>
      </c>
      <c r="F346" s="7" t="n">
        <v>48800</v>
      </c>
      <c r="G346" s="7" t="n">
        <v>27400</v>
      </c>
      <c r="H346" s="7" t="n">
        <v>21400</v>
      </c>
      <c r="I346" s="8" t="n">
        <v>0.4385245901639344</v>
      </c>
    </row>
    <row r="347">
      <c r="A347" s="6" t="inlineStr">
        <is>
          <t>2025-04</t>
        </is>
      </c>
      <c r="B347" s="6" t="inlineStr">
        <is>
          <t>训练服饰</t>
        </is>
      </c>
      <c r="C347" s="6" t="inlineStr">
        <is>
          <t>华北</t>
        </is>
      </c>
      <c r="D347" s="6" t="inlineStr">
        <is>
          <t>张伟</t>
        </is>
      </c>
      <c r="E347" s="6" t="inlineStr">
        <is>
          <t>劲爆运动用品</t>
        </is>
      </c>
      <c r="F347" s="7" t="n">
        <v>38700</v>
      </c>
      <c r="G347" s="7" t="n">
        <v>22000</v>
      </c>
      <c r="H347" s="7" t="n">
        <v>16700</v>
      </c>
      <c r="I347" s="8" t="n">
        <v>0.4315245478036176</v>
      </c>
    </row>
    <row r="348">
      <c r="A348" s="6" t="inlineStr">
        <is>
          <t>2025-04</t>
        </is>
      </c>
      <c r="B348" s="6" t="inlineStr">
        <is>
          <t>训练服饰</t>
        </is>
      </c>
      <c r="C348" s="6" t="inlineStr">
        <is>
          <t>华北</t>
        </is>
      </c>
      <c r="D348" s="6" t="inlineStr">
        <is>
          <t>李娜</t>
        </is>
      </c>
      <c r="E348" s="6" t="inlineStr">
        <is>
          <t>动能营养</t>
        </is>
      </c>
      <c r="F348" s="7" t="n">
        <v>36800</v>
      </c>
      <c r="G348" s="7" t="n">
        <v>20300</v>
      </c>
      <c r="H348" s="7" t="n">
        <v>16500</v>
      </c>
      <c r="I348" s="8" t="n">
        <v>0.4483695652173913</v>
      </c>
    </row>
    <row r="349">
      <c r="A349" s="6" t="inlineStr">
        <is>
          <t>2025-04</t>
        </is>
      </c>
      <c r="B349" s="6" t="inlineStr">
        <is>
          <t>训练服饰</t>
        </is>
      </c>
      <c r="C349" s="6" t="inlineStr">
        <is>
          <t>华北</t>
        </is>
      </c>
      <c r="D349" s="6" t="inlineStr">
        <is>
          <t>王芳</t>
        </is>
      </c>
      <c r="E349" s="6" t="inlineStr">
        <is>
          <t>锋行体育</t>
        </is>
      </c>
      <c r="F349" s="7" t="n">
        <v>48000</v>
      </c>
      <c r="G349" s="7" t="n">
        <v>27500</v>
      </c>
      <c r="H349" s="7" t="n">
        <v>20500</v>
      </c>
      <c r="I349" s="8" t="n">
        <v>0.4270833333333333</v>
      </c>
    </row>
    <row r="350">
      <c r="A350" s="6" t="inlineStr">
        <is>
          <t>2025-04</t>
        </is>
      </c>
      <c r="B350" s="6" t="inlineStr">
        <is>
          <t>训练服饰</t>
        </is>
      </c>
      <c r="C350" s="6" t="inlineStr">
        <is>
          <t>华北</t>
        </is>
      </c>
      <c r="D350" s="6" t="inlineStr">
        <is>
          <t>刘强</t>
        </is>
      </c>
      <c r="E350" s="6" t="inlineStr">
        <is>
          <t>雷霆篮球</t>
        </is>
      </c>
      <c r="F350" s="7" t="n">
        <v>41500</v>
      </c>
      <c r="G350" s="7" t="n">
        <v>22800</v>
      </c>
      <c r="H350" s="7" t="n">
        <v>18700</v>
      </c>
      <c r="I350" s="8" t="n">
        <v>0.4506024096385542</v>
      </c>
    </row>
    <row r="351">
      <c r="A351" s="6" t="inlineStr">
        <is>
          <t>2025-04</t>
        </is>
      </c>
      <c r="B351" s="6" t="inlineStr">
        <is>
          <t>训练服饰</t>
        </is>
      </c>
      <c r="C351" s="6" t="inlineStr">
        <is>
          <t>华北</t>
        </is>
      </c>
      <c r="D351" s="6" t="inlineStr">
        <is>
          <t>陈静</t>
        </is>
      </c>
      <c r="E351" s="6" t="inlineStr">
        <is>
          <t>跃动少儿运动馆</t>
        </is>
      </c>
      <c r="F351" s="7" t="n">
        <v>39600</v>
      </c>
      <c r="G351" s="7" t="n">
        <v>20700</v>
      </c>
      <c r="H351" s="7" t="n">
        <v>18900</v>
      </c>
      <c r="I351" s="8" t="n">
        <v>0.4772727272727273</v>
      </c>
    </row>
    <row r="352">
      <c r="A352" s="6" t="inlineStr">
        <is>
          <t>2025-04</t>
        </is>
      </c>
      <c r="B352" s="6" t="inlineStr">
        <is>
          <t>训练服饰</t>
        </is>
      </c>
      <c r="C352" s="6" t="inlineStr">
        <is>
          <t>华南</t>
        </is>
      </c>
      <c r="D352" s="6" t="inlineStr">
        <is>
          <t>张伟</t>
        </is>
      </c>
      <c r="E352" s="6" t="inlineStr">
        <is>
          <t>活力无限健身</t>
        </is>
      </c>
      <c r="F352" s="7" t="n">
        <v>48700</v>
      </c>
      <c r="G352" s="7" t="n">
        <v>25800</v>
      </c>
      <c r="H352" s="7" t="n">
        <v>22900</v>
      </c>
      <c r="I352" s="8" t="n">
        <v>0.4702258726899384</v>
      </c>
    </row>
    <row r="353">
      <c r="A353" s="6" t="inlineStr">
        <is>
          <t>2025-04</t>
        </is>
      </c>
      <c r="B353" s="6" t="inlineStr">
        <is>
          <t>训练服饰</t>
        </is>
      </c>
      <c r="C353" s="6" t="inlineStr">
        <is>
          <t>华南</t>
        </is>
      </c>
      <c r="D353" s="6" t="inlineStr">
        <is>
          <t>李娜</t>
        </is>
      </c>
      <c r="E353" s="6" t="inlineStr">
        <is>
          <t>启航健身中心</t>
        </is>
      </c>
      <c r="F353" s="7" t="n">
        <v>45400</v>
      </c>
      <c r="G353" s="7" t="n">
        <v>24200</v>
      </c>
      <c r="H353" s="7" t="n">
        <v>21200</v>
      </c>
      <c r="I353" s="8" t="n">
        <v>0.4669603524229075</v>
      </c>
    </row>
    <row r="354">
      <c r="A354" s="6" t="inlineStr">
        <is>
          <t>2025-04</t>
        </is>
      </c>
      <c r="B354" s="6" t="inlineStr">
        <is>
          <t>训练服饰</t>
        </is>
      </c>
      <c r="C354" s="6" t="inlineStr">
        <is>
          <t>华南</t>
        </is>
      </c>
      <c r="D354" s="6" t="inlineStr">
        <is>
          <t>王芳</t>
        </is>
      </c>
      <c r="E354" s="6" t="inlineStr">
        <is>
          <t>阳光体能</t>
        </is>
      </c>
      <c r="F354" s="7" t="n">
        <v>44300</v>
      </c>
      <c r="G354" s="7" t="n">
        <v>25600</v>
      </c>
      <c r="H354" s="7" t="n">
        <v>18700</v>
      </c>
      <c r="I354" s="8" t="n">
        <v>0.4221218961625282</v>
      </c>
    </row>
    <row r="355">
      <c r="A355" s="6" t="inlineStr">
        <is>
          <t>2025-04</t>
        </is>
      </c>
      <c r="B355" s="6" t="inlineStr">
        <is>
          <t>训练服饰</t>
        </is>
      </c>
      <c r="C355" s="6" t="inlineStr">
        <is>
          <t>华南</t>
        </is>
      </c>
      <c r="D355" s="6" t="inlineStr">
        <is>
          <t>刘强</t>
        </is>
      </c>
      <c r="E355" s="6" t="inlineStr">
        <is>
          <t>劲爆运动用品</t>
        </is>
      </c>
      <c r="F355" s="7" t="n">
        <v>35700</v>
      </c>
      <c r="G355" s="7" t="n">
        <v>20000</v>
      </c>
      <c r="H355" s="7" t="n">
        <v>15700</v>
      </c>
      <c r="I355" s="8" t="n">
        <v>0.4397759103641457</v>
      </c>
    </row>
    <row r="356">
      <c r="A356" s="6" t="inlineStr">
        <is>
          <t>2025-04</t>
        </is>
      </c>
      <c r="B356" s="6" t="inlineStr">
        <is>
          <t>训练服饰</t>
        </is>
      </c>
      <c r="C356" s="6" t="inlineStr">
        <is>
          <t>华南</t>
        </is>
      </c>
      <c r="D356" s="6" t="inlineStr">
        <is>
          <t>陈静</t>
        </is>
      </c>
      <c r="E356" s="6" t="inlineStr">
        <is>
          <t>健将体育</t>
        </is>
      </c>
      <c r="F356" s="7" t="n">
        <v>47400</v>
      </c>
      <c r="G356" s="7" t="n">
        <v>25900</v>
      </c>
      <c r="H356" s="7" t="n">
        <v>21500</v>
      </c>
      <c r="I356" s="8" t="n">
        <v>0.4535864978902954</v>
      </c>
    </row>
    <row r="357">
      <c r="A357" s="6" t="inlineStr">
        <is>
          <t>2025-04</t>
        </is>
      </c>
      <c r="B357" s="6" t="inlineStr">
        <is>
          <t>训练服饰</t>
        </is>
      </c>
      <c r="C357" s="6" t="inlineStr">
        <is>
          <t>西部</t>
        </is>
      </c>
      <c r="D357" s="6" t="inlineStr">
        <is>
          <t>张伟</t>
        </is>
      </c>
      <c r="E357" s="6" t="inlineStr">
        <is>
          <t>动能营养</t>
        </is>
      </c>
      <c r="F357" s="7" t="n">
        <v>31200</v>
      </c>
      <c r="G357" s="7" t="n">
        <v>17000</v>
      </c>
      <c r="H357" s="7" t="n">
        <v>14200</v>
      </c>
      <c r="I357" s="8" t="n">
        <v>0.4551282051282051</v>
      </c>
    </row>
    <row r="358">
      <c r="A358" s="6" t="inlineStr">
        <is>
          <t>2025-04</t>
        </is>
      </c>
      <c r="B358" s="6" t="inlineStr">
        <is>
          <t>训练服饰</t>
        </is>
      </c>
      <c r="C358" s="6" t="inlineStr">
        <is>
          <t>西部</t>
        </is>
      </c>
      <c r="D358" s="6" t="inlineStr">
        <is>
          <t>李娜</t>
        </is>
      </c>
      <c r="E358" s="6" t="inlineStr">
        <is>
          <t>阳光体能</t>
        </is>
      </c>
      <c r="F358" s="7" t="n">
        <v>26500</v>
      </c>
      <c r="G358" s="7" t="n">
        <v>14900</v>
      </c>
      <c r="H358" s="7" t="n">
        <v>11600</v>
      </c>
      <c r="I358" s="8" t="n">
        <v>0.4377358490566038</v>
      </c>
    </row>
    <row r="359">
      <c r="A359" s="6" t="inlineStr">
        <is>
          <t>2025-04</t>
        </is>
      </c>
      <c r="B359" s="6" t="inlineStr">
        <is>
          <t>训练服饰</t>
        </is>
      </c>
      <c r="C359" s="6" t="inlineStr">
        <is>
          <t>西部</t>
        </is>
      </c>
      <c r="D359" s="6" t="inlineStr">
        <is>
          <t>王芳</t>
        </is>
      </c>
      <c r="E359" s="6" t="inlineStr">
        <is>
          <t>风尚健身</t>
        </is>
      </c>
      <c r="F359" s="7" t="n">
        <v>31600</v>
      </c>
      <c r="G359" s="7" t="n">
        <v>17600</v>
      </c>
      <c r="H359" s="7" t="n">
        <v>14000</v>
      </c>
      <c r="I359" s="8" t="n">
        <v>0.4430379746835443</v>
      </c>
    </row>
    <row r="360">
      <c r="A360" s="6" t="inlineStr">
        <is>
          <t>2025-04</t>
        </is>
      </c>
      <c r="B360" s="6" t="inlineStr">
        <is>
          <t>训练服饰</t>
        </is>
      </c>
      <c r="C360" s="6" t="inlineStr">
        <is>
          <t>西部</t>
        </is>
      </c>
      <c r="D360" s="6" t="inlineStr">
        <is>
          <t>刘强</t>
        </is>
      </c>
      <c r="E360" s="6" t="inlineStr">
        <is>
          <t>童行运动馆</t>
        </is>
      </c>
      <c r="F360" s="7" t="n">
        <v>24000</v>
      </c>
      <c r="G360" s="7" t="n">
        <v>13200</v>
      </c>
      <c r="H360" s="7" t="n">
        <v>10800</v>
      </c>
      <c r="I360" s="8" t="n">
        <v>0.45</v>
      </c>
    </row>
    <row r="361">
      <c r="A361" s="6" t="inlineStr">
        <is>
          <t>2025-04</t>
        </is>
      </c>
      <c r="B361" s="6" t="inlineStr">
        <is>
          <t>训练服饰</t>
        </is>
      </c>
      <c r="C361" s="6" t="inlineStr">
        <is>
          <t>西部</t>
        </is>
      </c>
      <c r="D361" s="6" t="inlineStr">
        <is>
          <t>陈静</t>
        </is>
      </c>
      <c r="E361" s="6" t="inlineStr">
        <is>
          <t>童行运动馆</t>
        </is>
      </c>
      <c r="F361" s="7" t="n">
        <v>26100</v>
      </c>
      <c r="G361" s="7" t="n">
        <v>14300</v>
      </c>
      <c r="H361" s="7" t="n">
        <v>11800</v>
      </c>
      <c r="I361" s="8" t="n">
        <v>0.4521072796934866</v>
      </c>
    </row>
    <row r="362">
      <c r="A362" s="6" t="inlineStr">
        <is>
          <t>2025-04</t>
        </is>
      </c>
      <c r="B362" s="6" t="inlineStr">
        <is>
          <t>营养补给</t>
        </is>
      </c>
      <c r="C362" s="6" t="inlineStr">
        <is>
          <t>华东</t>
        </is>
      </c>
      <c r="D362" s="6" t="inlineStr">
        <is>
          <t>张伟</t>
        </is>
      </c>
      <c r="E362" s="6" t="inlineStr">
        <is>
          <t>雷霆篮球</t>
        </is>
      </c>
      <c r="F362" s="7" t="n">
        <v>57000</v>
      </c>
      <c r="G362" s="7" t="n">
        <v>41200</v>
      </c>
      <c r="H362" s="7" t="n">
        <v>15800</v>
      </c>
      <c r="I362" s="8" t="n">
        <v>0.2771929824561403</v>
      </c>
    </row>
    <row r="363">
      <c r="A363" s="6" t="inlineStr">
        <is>
          <t>2025-04</t>
        </is>
      </c>
      <c r="B363" s="6" t="inlineStr">
        <is>
          <t>营养补给</t>
        </is>
      </c>
      <c r="C363" s="6" t="inlineStr">
        <is>
          <t>华东</t>
        </is>
      </c>
      <c r="D363" s="6" t="inlineStr">
        <is>
          <t>李娜</t>
        </is>
      </c>
      <c r="E363" s="6" t="inlineStr">
        <is>
          <t>成长树运动馆</t>
        </is>
      </c>
      <c r="F363" s="7" t="n">
        <v>57900</v>
      </c>
      <c r="G363" s="7" t="n">
        <v>45100</v>
      </c>
      <c r="H363" s="7" t="n">
        <v>12800</v>
      </c>
      <c r="I363" s="8" t="n">
        <v>0.2210708117443869</v>
      </c>
    </row>
    <row r="364">
      <c r="A364" s="6" t="inlineStr">
        <is>
          <t>2025-04</t>
        </is>
      </c>
      <c r="B364" s="6" t="inlineStr">
        <is>
          <t>营养补给</t>
        </is>
      </c>
      <c r="C364" s="6" t="inlineStr">
        <is>
          <t>华东</t>
        </is>
      </c>
      <c r="D364" s="6" t="inlineStr">
        <is>
          <t>王芳</t>
        </is>
      </c>
      <c r="E364" s="6" t="inlineStr">
        <is>
          <t>锋行体育</t>
        </is>
      </c>
      <c r="F364" s="7" t="n">
        <v>67800</v>
      </c>
      <c r="G364" s="7" t="n">
        <v>51400</v>
      </c>
      <c r="H364" s="7" t="n">
        <v>16400</v>
      </c>
      <c r="I364" s="8" t="n">
        <v>0.2418879056047198</v>
      </c>
    </row>
    <row r="365">
      <c r="A365" s="6" t="inlineStr">
        <is>
          <t>2025-04</t>
        </is>
      </c>
      <c r="B365" s="6" t="inlineStr">
        <is>
          <t>营养补给</t>
        </is>
      </c>
      <c r="C365" s="6" t="inlineStr">
        <is>
          <t>华东</t>
        </is>
      </c>
      <c r="D365" s="6" t="inlineStr">
        <is>
          <t>刘强</t>
        </is>
      </c>
      <c r="E365" s="6" t="inlineStr">
        <is>
          <t>雷霆篮球</t>
        </is>
      </c>
      <c r="F365" s="7" t="n">
        <v>60700</v>
      </c>
      <c r="G365" s="7" t="n">
        <v>46100</v>
      </c>
      <c r="H365" s="7" t="n">
        <v>14600</v>
      </c>
      <c r="I365" s="8" t="n">
        <v>0.2405271828665568</v>
      </c>
    </row>
    <row r="366">
      <c r="A366" s="6" t="inlineStr">
        <is>
          <t>2025-04</t>
        </is>
      </c>
      <c r="B366" s="6" t="inlineStr">
        <is>
          <t>营养补给</t>
        </is>
      </c>
      <c r="C366" s="6" t="inlineStr">
        <is>
          <t>华东</t>
        </is>
      </c>
      <c r="D366" s="6" t="inlineStr">
        <is>
          <t>陈静</t>
        </is>
      </c>
      <c r="E366" s="6" t="inlineStr">
        <is>
          <t>乐动体育</t>
        </is>
      </c>
      <c r="F366" s="7" t="n">
        <v>66900</v>
      </c>
      <c r="G366" s="7" t="n">
        <v>51800</v>
      </c>
      <c r="H366" s="7" t="n">
        <v>15100</v>
      </c>
      <c r="I366" s="8" t="n">
        <v>0.2257100149476831</v>
      </c>
    </row>
    <row r="367">
      <c r="A367" s="6" t="inlineStr">
        <is>
          <t>2025-04</t>
        </is>
      </c>
      <c r="B367" s="6" t="inlineStr">
        <is>
          <t>营养补给</t>
        </is>
      </c>
      <c r="C367" s="6" t="inlineStr">
        <is>
          <t>华北</t>
        </is>
      </c>
      <c r="D367" s="6" t="inlineStr">
        <is>
          <t>张伟</t>
        </is>
      </c>
      <c r="E367" s="6" t="inlineStr">
        <is>
          <t>风尚健身</t>
        </is>
      </c>
      <c r="F367" s="7" t="n">
        <v>43300</v>
      </c>
      <c r="G367" s="7" t="n">
        <v>33100</v>
      </c>
      <c r="H367" s="7" t="n">
        <v>10200</v>
      </c>
      <c r="I367" s="8" t="n">
        <v>0.2355658198614319</v>
      </c>
    </row>
    <row r="368">
      <c r="A368" s="6" t="inlineStr">
        <is>
          <t>2025-04</t>
        </is>
      </c>
      <c r="B368" s="6" t="inlineStr">
        <is>
          <t>营养补给</t>
        </is>
      </c>
      <c r="C368" s="6" t="inlineStr">
        <is>
          <t>华北</t>
        </is>
      </c>
      <c r="D368" s="6" t="inlineStr">
        <is>
          <t>李娜</t>
        </is>
      </c>
      <c r="E368" s="6" t="inlineStr">
        <is>
          <t>纵横运动</t>
        </is>
      </c>
      <c r="F368" s="7" t="n">
        <v>57800</v>
      </c>
      <c r="G368" s="7" t="n">
        <v>44100</v>
      </c>
      <c r="H368" s="7" t="n">
        <v>13700</v>
      </c>
      <c r="I368" s="8" t="n">
        <v>0.2370242214532872</v>
      </c>
    </row>
    <row r="369">
      <c r="A369" s="6" t="inlineStr">
        <is>
          <t>2025-04</t>
        </is>
      </c>
      <c r="B369" s="6" t="inlineStr">
        <is>
          <t>营养补给</t>
        </is>
      </c>
      <c r="C369" s="6" t="inlineStr">
        <is>
          <t>华北</t>
        </is>
      </c>
      <c r="D369" s="6" t="inlineStr">
        <is>
          <t>王芳</t>
        </is>
      </c>
      <c r="E369" s="6" t="inlineStr">
        <is>
          <t>康威运动商城</t>
        </is>
      </c>
      <c r="F369" s="7" t="n">
        <v>55900</v>
      </c>
      <c r="G369" s="7" t="n">
        <v>42500</v>
      </c>
      <c r="H369" s="7" t="n">
        <v>13400</v>
      </c>
      <c r="I369" s="8" t="n">
        <v>0.2397137745974955</v>
      </c>
    </row>
    <row r="370">
      <c r="A370" s="6" t="inlineStr">
        <is>
          <t>2025-04</t>
        </is>
      </c>
      <c r="B370" s="6" t="inlineStr">
        <is>
          <t>营养补给</t>
        </is>
      </c>
      <c r="C370" s="6" t="inlineStr">
        <is>
          <t>华北</t>
        </is>
      </c>
      <c r="D370" s="6" t="inlineStr">
        <is>
          <t>刘强</t>
        </is>
      </c>
      <c r="E370" s="6" t="inlineStr">
        <is>
          <t>环宇体育</t>
        </is>
      </c>
      <c r="F370" s="7" t="n">
        <v>39400</v>
      </c>
      <c r="G370" s="7" t="n">
        <v>29100</v>
      </c>
      <c r="H370" s="7" t="n">
        <v>10300</v>
      </c>
      <c r="I370" s="8" t="n">
        <v>0.2614213197969543</v>
      </c>
    </row>
    <row r="371">
      <c r="A371" s="6" t="inlineStr">
        <is>
          <t>2025-04</t>
        </is>
      </c>
      <c r="B371" s="6" t="inlineStr">
        <is>
          <t>营养补给</t>
        </is>
      </c>
      <c r="C371" s="6" t="inlineStr">
        <is>
          <t>华北</t>
        </is>
      </c>
      <c r="D371" s="6" t="inlineStr">
        <is>
          <t>陈静</t>
        </is>
      </c>
      <c r="E371" s="6" t="inlineStr">
        <is>
          <t>阳光体能</t>
        </is>
      </c>
      <c r="F371" s="7" t="n">
        <v>50700</v>
      </c>
      <c r="G371" s="7" t="n">
        <v>36700</v>
      </c>
      <c r="H371" s="7" t="n">
        <v>14000</v>
      </c>
      <c r="I371" s="8" t="n">
        <v>0.2761341222879685</v>
      </c>
    </row>
    <row r="372">
      <c r="A372" s="6" t="inlineStr">
        <is>
          <t>2025-04</t>
        </is>
      </c>
      <c r="B372" s="6" t="inlineStr">
        <is>
          <t>营养补给</t>
        </is>
      </c>
      <c r="C372" s="6" t="inlineStr">
        <is>
          <t>华南</t>
        </is>
      </c>
      <c r="D372" s="6" t="inlineStr">
        <is>
          <t>张伟</t>
        </is>
      </c>
      <c r="E372" s="6" t="inlineStr">
        <is>
          <t>环宇体育</t>
        </is>
      </c>
      <c r="F372" s="7" t="n">
        <v>54000</v>
      </c>
      <c r="G372" s="7" t="n">
        <v>41300</v>
      </c>
      <c r="H372" s="7" t="n">
        <v>12700</v>
      </c>
      <c r="I372" s="8" t="n">
        <v>0.2351851851851852</v>
      </c>
    </row>
    <row r="373">
      <c r="A373" s="6" t="inlineStr">
        <is>
          <t>2025-04</t>
        </is>
      </c>
      <c r="B373" s="6" t="inlineStr">
        <is>
          <t>营养补给</t>
        </is>
      </c>
      <c r="C373" s="6" t="inlineStr">
        <is>
          <t>华南</t>
        </is>
      </c>
      <c r="D373" s="6" t="inlineStr">
        <is>
          <t>李娜</t>
        </is>
      </c>
      <c r="E373" s="6" t="inlineStr">
        <is>
          <t>劲爆运动用品</t>
        </is>
      </c>
      <c r="F373" s="7" t="n">
        <v>53000</v>
      </c>
      <c r="G373" s="7" t="n">
        <v>39100</v>
      </c>
      <c r="H373" s="7" t="n">
        <v>13900</v>
      </c>
      <c r="I373" s="8" t="n">
        <v>0.2622641509433962</v>
      </c>
    </row>
    <row r="374">
      <c r="A374" s="6" t="inlineStr">
        <is>
          <t>2025-04</t>
        </is>
      </c>
      <c r="B374" s="6" t="inlineStr">
        <is>
          <t>营养补给</t>
        </is>
      </c>
      <c r="C374" s="6" t="inlineStr">
        <is>
          <t>华南</t>
        </is>
      </c>
      <c r="D374" s="6" t="inlineStr">
        <is>
          <t>王芳</t>
        </is>
      </c>
      <c r="E374" s="6" t="inlineStr">
        <is>
          <t>环宇体育</t>
        </is>
      </c>
      <c r="F374" s="7" t="n">
        <v>62400</v>
      </c>
      <c r="G374" s="7" t="n">
        <v>46900</v>
      </c>
      <c r="H374" s="7" t="n">
        <v>15500</v>
      </c>
      <c r="I374" s="8" t="n">
        <v>0.2483974358974359</v>
      </c>
    </row>
    <row r="375">
      <c r="A375" s="6" t="inlineStr">
        <is>
          <t>2025-04</t>
        </is>
      </c>
      <c r="B375" s="6" t="inlineStr">
        <is>
          <t>营养补给</t>
        </is>
      </c>
      <c r="C375" s="6" t="inlineStr">
        <is>
          <t>华南</t>
        </is>
      </c>
      <c r="D375" s="6" t="inlineStr">
        <is>
          <t>刘强</t>
        </is>
      </c>
      <c r="E375" s="6" t="inlineStr">
        <is>
          <t>乐动体育</t>
        </is>
      </c>
      <c r="F375" s="7" t="n">
        <v>52200</v>
      </c>
      <c r="G375" s="7" t="n">
        <v>38700</v>
      </c>
      <c r="H375" s="7" t="n">
        <v>13500</v>
      </c>
      <c r="I375" s="8" t="n">
        <v>0.2586206896551724</v>
      </c>
    </row>
    <row r="376">
      <c r="A376" s="6" t="inlineStr">
        <is>
          <t>2025-04</t>
        </is>
      </c>
      <c r="B376" s="6" t="inlineStr">
        <is>
          <t>营养补给</t>
        </is>
      </c>
      <c r="C376" s="6" t="inlineStr">
        <is>
          <t>华南</t>
        </is>
      </c>
      <c r="D376" s="6" t="inlineStr">
        <is>
          <t>陈静</t>
        </is>
      </c>
      <c r="E376" s="6" t="inlineStr">
        <is>
          <t>腾飞体育用品</t>
        </is>
      </c>
      <c r="F376" s="7" t="n">
        <v>47400</v>
      </c>
      <c r="G376" s="7" t="n">
        <v>36100</v>
      </c>
      <c r="H376" s="7" t="n">
        <v>11300</v>
      </c>
      <c r="I376" s="8" t="n">
        <v>0.2383966244725738</v>
      </c>
    </row>
    <row r="377">
      <c r="A377" s="6" t="inlineStr">
        <is>
          <t>2025-04</t>
        </is>
      </c>
      <c r="B377" s="6" t="inlineStr">
        <is>
          <t>营养补给</t>
        </is>
      </c>
      <c r="C377" s="6" t="inlineStr">
        <is>
          <t>西部</t>
        </is>
      </c>
      <c r="D377" s="6" t="inlineStr">
        <is>
          <t>张伟</t>
        </is>
      </c>
      <c r="E377" s="6" t="inlineStr">
        <is>
          <t>超能体育</t>
        </is>
      </c>
      <c r="F377" s="7" t="n">
        <v>35500</v>
      </c>
      <c r="G377" s="7" t="n">
        <v>25800</v>
      </c>
      <c r="H377" s="7" t="n">
        <v>9700</v>
      </c>
      <c r="I377" s="8" t="n">
        <v>0.2732394366197183</v>
      </c>
    </row>
    <row r="378">
      <c r="A378" s="6" t="inlineStr">
        <is>
          <t>2025-04</t>
        </is>
      </c>
      <c r="B378" s="6" t="inlineStr">
        <is>
          <t>营养补给</t>
        </is>
      </c>
      <c r="C378" s="6" t="inlineStr">
        <is>
          <t>西部</t>
        </is>
      </c>
      <c r="D378" s="6" t="inlineStr">
        <is>
          <t>李娜</t>
        </is>
      </c>
      <c r="E378" s="6" t="inlineStr">
        <is>
          <t>活力无限健身</t>
        </is>
      </c>
      <c r="F378" s="7" t="n">
        <v>35100</v>
      </c>
      <c r="G378" s="7" t="n">
        <v>26600</v>
      </c>
      <c r="H378" s="7" t="n">
        <v>8500</v>
      </c>
      <c r="I378" s="8" t="n">
        <v>0.2421652421652422</v>
      </c>
    </row>
    <row r="379">
      <c r="A379" s="6" t="inlineStr">
        <is>
          <t>2025-04</t>
        </is>
      </c>
      <c r="B379" s="6" t="inlineStr">
        <is>
          <t>营养补给</t>
        </is>
      </c>
      <c r="C379" s="6" t="inlineStr">
        <is>
          <t>西部</t>
        </is>
      </c>
      <c r="D379" s="6" t="inlineStr">
        <is>
          <t>王芳</t>
        </is>
      </c>
      <c r="E379" s="6" t="inlineStr">
        <is>
          <t>元气营养</t>
        </is>
      </c>
      <c r="F379" s="7" t="n">
        <v>31800</v>
      </c>
      <c r="G379" s="7" t="n">
        <v>23300</v>
      </c>
      <c r="H379" s="7" t="n">
        <v>8500</v>
      </c>
      <c r="I379" s="8" t="n">
        <v>0.2672955974842767</v>
      </c>
    </row>
    <row r="380">
      <c r="A380" s="6" t="inlineStr">
        <is>
          <t>2025-04</t>
        </is>
      </c>
      <c r="B380" s="6" t="inlineStr">
        <is>
          <t>营养补给</t>
        </is>
      </c>
      <c r="C380" s="6" t="inlineStr">
        <is>
          <t>西部</t>
        </is>
      </c>
      <c r="D380" s="6" t="inlineStr">
        <is>
          <t>刘强</t>
        </is>
      </c>
      <c r="E380" s="6" t="inlineStr">
        <is>
          <t>迈步体育</t>
        </is>
      </c>
      <c r="F380" s="7" t="n">
        <v>37200</v>
      </c>
      <c r="G380" s="7" t="n">
        <v>28400</v>
      </c>
      <c r="H380" s="7" t="n">
        <v>8800</v>
      </c>
      <c r="I380" s="8" t="n">
        <v>0.2365591397849462</v>
      </c>
    </row>
    <row r="381">
      <c r="A381" s="6" t="inlineStr">
        <is>
          <t>2025-04</t>
        </is>
      </c>
      <c r="B381" s="6" t="inlineStr">
        <is>
          <t>营养补给</t>
        </is>
      </c>
      <c r="C381" s="6" t="inlineStr">
        <is>
          <t>西部</t>
        </is>
      </c>
      <c r="D381" s="6" t="inlineStr">
        <is>
          <t>陈静</t>
        </is>
      </c>
      <c r="E381" s="6" t="inlineStr">
        <is>
          <t>飞跃训练营</t>
        </is>
      </c>
      <c r="F381" s="7" t="n">
        <v>33500</v>
      </c>
      <c r="G381" s="7" t="n">
        <v>26000</v>
      </c>
      <c r="H381" s="7" t="n">
        <v>7500</v>
      </c>
      <c r="I381" s="8" t="n">
        <v>0.2238805970149254</v>
      </c>
    </row>
    <row r="382">
      <c r="A382" s="6" t="inlineStr">
        <is>
          <t>2025-04</t>
        </is>
      </c>
      <c r="B382" s="6" t="inlineStr">
        <is>
          <t>智能穿戴</t>
        </is>
      </c>
      <c r="C382" s="6" t="inlineStr">
        <is>
          <t>华东</t>
        </is>
      </c>
      <c r="D382" s="6" t="inlineStr">
        <is>
          <t>张伟</t>
        </is>
      </c>
      <c r="E382" s="6" t="inlineStr">
        <is>
          <t>悍将运动</t>
        </is>
      </c>
      <c r="F382" s="7" t="n">
        <v>80700</v>
      </c>
      <c r="G382" s="7" t="n">
        <v>49000</v>
      </c>
      <c r="H382" s="7" t="n">
        <v>31700</v>
      </c>
      <c r="I382" s="8" t="n">
        <v>0.3928128872366791</v>
      </c>
    </row>
    <row r="383">
      <c r="A383" s="6" t="inlineStr">
        <is>
          <t>2025-04</t>
        </is>
      </c>
      <c r="B383" s="6" t="inlineStr">
        <is>
          <t>智能穿戴</t>
        </is>
      </c>
      <c r="C383" s="6" t="inlineStr">
        <is>
          <t>华东</t>
        </is>
      </c>
      <c r="D383" s="6" t="inlineStr">
        <is>
          <t>李娜</t>
        </is>
      </c>
      <c r="E383" s="6" t="inlineStr">
        <is>
          <t>极客穿戴</t>
        </is>
      </c>
      <c r="F383" s="7" t="n">
        <v>81300</v>
      </c>
      <c r="G383" s="7" t="n">
        <v>48600</v>
      </c>
      <c r="H383" s="7" t="n">
        <v>32700</v>
      </c>
      <c r="I383" s="8" t="n">
        <v>0.4022140221402214</v>
      </c>
    </row>
    <row r="384">
      <c r="A384" s="6" t="inlineStr">
        <is>
          <t>2025-04</t>
        </is>
      </c>
      <c r="B384" s="6" t="inlineStr">
        <is>
          <t>智能穿戴</t>
        </is>
      </c>
      <c r="C384" s="6" t="inlineStr">
        <is>
          <t>华东</t>
        </is>
      </c>
      <c r="D384" s="6" t="inlineStr">
        <is>
          <t>王芳</t>
        </is>
      </c>
      <c r="E384" s="6" t="inlineStr">
        <is>
          <t>小小运动家</t>
        </is>
      </c>
      <c r="F384" s="7" t="n">
        <v>90900</v>
      </c>
      <c r="G384" s="7" t="n">
        <v>55400</v>
      </c>
      <c r="H384" s="7" t="n">
        <v>35500</v>
      </c>
      <c r="I384" s="8" t="n">
        <v>0.3905390539053906</v>
      </c>
    </row>
    <row r="385">
      <c r="A385" s="6" t="inlineStr">
        <is>
          <t>2025-04</t>
        </is>
      </c>
      <c r="B385" s="6" t="inlineStr">
        <is>
          <t>智能穿戴</t>
        </is>
      </c>
      <c r="C385" s="6" t="inlineStr">
        <is>
          <t>华东</t>
        </is>
      </c>
      <c r="D385" s="6" t="inlineStr">
        <is>
          <t>刘强</t>
        </is>
      </c>
      <c r="E385" s="6" t="inlineStr">
        <is>
          <t>动能营养</t>
        </is>
      </c>
      <c r="F385" s="7" t="n">
        <v>91500</v>
      </c>
      <c r="G385" s="7" t="n">
        <v>54700</v>
      </c>
      <c r="H385" s="7" t="n">
        <v>36800</v>
      </c>
      <c r="I385" s="8" t="n">
        <v>0.4021857923497268</v>
      </c>
    </row>
    <row r="386">
      <c r="A386" s="6" t="inlineStr">
        <is>
          <t>2025-04</t>
        </is>
      </c>
      <c r="B386" s="6" t="inlineStr">
        <is>
          <t>智能穿戴</t>
        </is>
      </c>
      <c r="C386" s="6" t="inlineStr">
        <is>
          <t>华东</t>
        </is>
      </c>
      <c r="D386" s="6" t="inlineStr">
        <is>
          <t>陈静</t>
        </is>
      </c>
      <c r="E386" s="6" t="inlineStr">
        <is>
          <t>康威运动商城</t>
        </is>
      </c>
      <c r="F386" s="7" t="n">
        <v>84100</v>
      </c>
      <c r="G386" s="7" t="n">
        <v>50700</v>
      </c>
      <c r="H386" s="7" t="n">
        <v>33400</v>
      </c>
      <c r="I386" s="8" t="n">
        <v>0.3971462544589774</v>
      </c>
    </row>
    <row r="387">
      <c r="A387" s="6" t="inlineStr">
        <is>
          <t>2025-04</t>
        </is>
      </c>
      <c r="B387" s="6" t="inlineStr">
        <is>
          <t>智能穿戴</t>
        </is>
      </c>
      <c r="C387" s="6" t="inlineStr">
        <is>
          <t>华北</t>
        </is>
      </c>
      <c r="D387" s="6" t="inlineStr">
        <is>
          <t>张伟</t>
        </is>
      </c>
      <c r="E387" s="6" t="inlineStr">
        <is>
          <t>冠军之路俱乐部</t>
        </is>
      </c>
      <c r="F387" s="7" t="n">
        <v>66600</v>
      </c>
      <c r="G387" s="7" t="n">
        <v>41100</v>
      </c>
      <c r="H387" s="7" t="n">
        <v>25500</v>
      </c>
      <c r="I387" s="8" t="n">
        <v>0.3828828828828829</v>
      </c>
    </row>
    <row r="388">
      <c r="A388" s="6" t="inlineStr">
        <is>
          <t>2025-04</t>
        </is>
      </c>
      <c r="B388" s="6" t="inlineStr">
        <is>
          <t>智能穿戴</t>
        </is>
      </c>
      <c r="C388" s="6" t="inlineStr">
        <is>
          <t>华北</t>
        </is>
      </c>
      <c r="D388" s="6" t="inlineStr">
        <is>
          <t>李娜</t>
        </is>
      </c>
      <c r="E388" s="6" t="inlineStr">
        <is>
          <t>锐健身工作室</t>
        </is>
      </c>
      <c r="F388" s="7" t="n">
        <v>77800</v>
      </c>
      <c r="G388" s="7" t="n">
        <v>47800</v>
      </c>
      <c r="H388" s="7" t="n">
        <v>30000</v>
      </c>
      <c r="I388" s="8" t="n">
        <v>0.3856041131105398</v>
      </c>
    </row>
    <row r="389">
      <c r="A389" s="6" t="inlineStr">
        <is>
          <t>2025-04</t>
        </is>
      </c>
      <c r="B389" s="6" t="inlineStr">
        <is>
          <t>智能穿戴</t>
        </is>
      </c>
      <c r="C389" s="6" t="inlineStr">
        <is>
          <t>华北</t>
        </is>
      </c>
      <c r="D389" s="6" t="inlineStr">
        <is>
          <t>王芳</t>
        </is>
      </c>
      <c r="E389" s="6" t="inlineStr">
        <is>
          <t>动能营养</t>
        </is>
      </c>
      <c r="F389" s="7" t="n">
        <v>73100</v>
      </c>
      <c r="G389" s="7" t="n">
        <v>45200</v>
      </c>
      <c r="H389" s="7" t="n">
        <v>27900</v>
      </c>
      <c r="I389" s="8" t="n">
        <v>0.3816689466484268</v>
      </c>
    </row>
    <row r="390">
      <c r="A390" s="6" t="inlineStr">
        <is>
          <t>2025-04</t>
        </is>
      </c>
      <c r="B390" s="6" t="inlineStr">
        <is>
          <t>智能穿戴</t>
        </is>
      </c>
      <c r="C390" s="6" t="inlineStr">
        <is>
          <t>华北</t>
        </is>
      </c>
      <c r="D390" s="6" t="inlineStr">
        <is>
          <t>刘强</t>
        </is>
      </c>
      <c r="E390" s="6" t="inlineStr">
        <is>
          <t>恒康营养</t>
        </is>
      </c>
      <c r="F390" s="7" t="n">
        <v>72300</v>
      </c>
      <c r="G390" s="7" t="n">
        <v>45800</v>
      </c>
      <c r="H390" s="7" t="n">
        <v>26500</v>
      </c>
      <c r="I390" s="8" t="n">
        <v>0.3665283540802213</v>
      </c>
    </row>
    <row r="391">
      <c r="A391" s="6" t="inlineStr">
        <is>
          <t>2025-04</t>
        </is>
      </c>
      <c r="B391" s="6" t="inlineStr">
        <is>
          <t>智能穿戴</t>
        </is>
      </c>
      <c r="C391" s="6" t="inlineStr">
        <is>
          <t>华北</t>
        </is>
      </c>
      <c r="D391" s="6" t="inlineStr">
        <is>
          <t>陈静</t>
        </is>
      </c>
      <c r="E391" s="6" t="inlineStr">
        <is>
          <t>纵横运动</t>
        </is>
      </c>
      <c r="F391" s="7" t="n">
        <v>74100</v>
      </c>
      <c r="G391" s="7" t="n">
        <v>45100</v>
      </c>
      <c r="H391" s="7" t="n">
        <v>29000</v>
      </c>
      <c r="I391" s="8" t="n">
        <v>0.3913630229419703</v>
      </c>
    </row>
    <row r="392">
      <c r="A392" s="6" t="inlineStr">
        <is>
          <t>2025-04</t>
        </is>
      </c>
      <c r="B392" s="6" t="inlineStr">
        <is>
          <t>智能穿戴</t>
        </is>
      </c>
      <c r="C392" s="6" t="inlineStr">
        <is>
          <t>华南</t>
        </is>
      </c>
      <c r="D392" s="6" t="inlineStr">
        <is>
          <t>张伟</t>
        </is>
      </c>
      <c r="E392" s="6" t="inlineStr">
        <is>
          <t>元气营养</t>
        </is>
      </c>
      <c r="F392" s="7" t="n">
        <v>86100</v>
      </c>
      <c r="G392" s="7" t="n">
        <v>52800</v>
      </c>
      <c r="H392" s="7" t="n">
        <v>33300</v>
      </c>
      <c r="I392" s="8" t="n">
        <v>0.3867595818815331</v>
      </c>
    </row>
    <row r="393">
      <c r="A393" s="6" t="inlineStr">
        <is>
          <t>2025-04</t>
        </is>
      </c>
      <c r="B393" s="6" t="inlineStr">
        <is>
          <t>智能穿戴</t>
        </is>
      </c>
      <c r="C393" s="6" t="inlineStr">
        <is>
          <t>华南</t>
        </is>
      </c>
      <c r="D393" s="6" t="inlineStr">
        <is>
          <t>李娜</t>
        </is>
      </c>
      <c r="E393" s="6" t="inlineStr">
        <is>
          <t>纵横运动</t>
        </is>
      </c>
      <c r="F393" s="7" t="n">
        <v>74100</v>
      </c>
      <c r="G393" s="7" t="n">
        <v>46800</v>
      </c>
      <c r="H393" s="7" t="n">
        <v>27300</v>
      </c>
      <c r="I393" s="8" t="n">
        <v>0.3684210526315789</v>
      </c>
    </row>
    <row r="394">
      <c r="A394" s="6" t="inlineStr">
        <is>
          <t>2025-04</t>
        </is>
      </c>
      <c r="B394" s="6" t="inlineStr">
        <is>
          <t>智能穿戴</t>
        </is>
      </c>
      <c r="C394" s="6" t="inlineStr">
        <is>
          <t>华南</t>
        </is>
      </c>
      <c r="D394" s="6" t="inlineStr">
        <is>
          <t>王芳</t>
        </is>
      </c>
      <c r="E394" s="6" t="inlineStr">
        <is>
          <t>超能体育</t>
        </is>
      </c>
      <c r="F394" s="7" t="n">
        <v>82600</v>
      </c>
      <c r="G394" s="7" t="n">
        <v>50700</v>
      </c>
      <c r="H394" s="7" t="n">
        <v>31900</v>
      </c>
      <c r="I394" s="8" t="n">
        <v>0.3861985472154963</v>
      </c>
    </row>
    <row r="395">
      <c r="A395" s="6" t="inlineStr">
        <is>
          <t>2025-04</t>
        </is>
      </c>
      <c r="B395" s="6" t="inlineStr">
        <is>
          <t>智能穿戴</t>
        </is>
      </c>
      <c r="C395" s="6" t="inlineStr">
        <is>
          <t>华南</t>
        </is>
      </c>
      <c r="D395" s="6" t="inlineStr">
        <is>
          <t>刘强</t>
        </is>
      </c>
      <c r="E395" s="6" t="inlineStr">
        <is>
          <t>悍将运动</t>
        </is>
      </c>
      <c r="F395" s="7" t="n">
        <v>67800</v>
      </c>
      <c r="G395" s="7" t="n">
        <v>43400</v>
      </c>
      <c r="H395" s="7" t="n">
        <v>24400</v>
      </c>
      <c r="I395" s="8" t="n">
        <v>0.359882005899705</v>
      </c>
    </row>
    <row r="396">
      <c r="A396" s="6" t="inlineStr">
        <is>
          <t>2025-04</t>
        </is>
      </c>
      <c r="B396" s="6" t="inlineStr">
        <is>
          <t>智能穿戴</t>
        </is>
      </c>
      <c r="C396" s="6" t="inlineStr">
        <is>
          <t>华南</t>
        </is>
      </c>
      <c r="D396" s="6" t="inlineStr">
        <is>
          <t>陈静</t>
        </is>
      </c>
      <c r="E396" s="6" t="inlineStr">
        <is>
          <t>纵横运动</t>
        </is>
      </c>
      <c r="F396" s="7" t="n">
        <v>64500</v>
      </c>
      <c r="G396" s="7" t="n">
        <v>41400</v>
      </c>
      <c r="H396" s="7" t="n">
        <v>23100</v>
      </c>
      <c r="I396" s="8" t="n">
        <v>0.3581395348837209</v>
      </c>
    </row>
    <row r="397">
      <c r="A397" s="6" t="inlineStr">
        <is>
          <t>2025-04</t>
        </is>
      </c>
      <c r="B397" s="6" t="inlineStr">
        <is>
          <t>智能穿戴</t>
        </is>
      </c>
      <c r="C397" s="6" t="inlineStr">
        <is>
          <t>西部</t>
        </is>
      </c>
      <c r="D397" s="6" t="inlineStr">
        <is>
          <t>张伟</t>
        </is>
      </c>
      <c r="E397" s="6" t="inlineStr">
        <is>
          <t>迈步体育</t>
        </is>
      </c>
      <c r="F397" s="7" t="n">
        <v>46200</v>
      </c>
      <c r="G397" s="7" t="n">
        <v>27800</v>
      </c>
      <c r="H397" s="7" t="n">
        <v>18400</v>
      </c>
      <c r="I397" s="8" t="n">
        <v>0.3982683982683983</v>
      </c>
    </row>
    <row r="398">
      <c r="A398" s="6" t="inlineStr">
        <is>
          <t>2025-04</t>
        </is>
      </c>
      <c r="B398" s="6" t="inlineStr">
        <is>
          <t>智能穿戴</t>
        </is>
      </c>
      <c r="C398" s="6" t="inlineStr">
        <is>
          <t>西部</t>
        </is>
      </c>
      <c r="D398" s="6" t="inlineStr">
        <is>
          <t>李娜</t>
        </is>
      </c>
      <c r="E398" s="6" t="inlineStr">
        <is>
          <t>优加体能中心</t>
        </is>
      </c>
      <c r="F398" s="7" t="n">
        <v>53000</v>
      </c>
      <c r="G398" s="7" t="n">
        <v>33700</v>
      </c>
      <c r="H398" s="7" t="n">
        <v>19300</v>
      </c>
      <c r="I398" s="8" t="n">
        <v>0.3641509433962264</v>
      </c>
    </row>
    <row r="399">
      <c r="A399" s="6" t="inlineStr">
        <is>
          <t>2025-04</t>
        </is>
      </c>
      <c r="B399" s="6" t="inlineStr">
        <is>
          <t>智能穿戴</t>
        </is>
      </c>
      <c r="C399" s="6" t="inlineStr">
        <is>
          <t>西部</t>
        </is>
      </c>
      <c r="D399" s="6" t="inlineStr">
        <is>
          <t>王芳</t>
        </is>
      </c>
      <c r="E399" s="6" t="inlineStr">
        <is>
          <t>冠军之路俱乐部</t>
        </is>
      </c>
      <c r="F399" s="7" t="n">
        <v>56100</v>
      </c>
      <c r="G399" s="7" t="n">
        <v>35500</v>
      </c>
      <c r="H399" s="7" t="n">
        <v>20600</v>
      </c>
      <c r="I399" s="8" t="n">
        <v>0.3672014260249554</v>
      </c>
    </row>
    <row r="400">
      <c r="A400" s="6" t="inlineStr">
        <is>
          <t>2025-04</t>
        </is>
      </c>
      <c r="B400" s="6" t="inlineStr">
        <is>
          <t>智能穿戴</t>
        </is>
      </c>
      <c r="C400" s="6" t="inlineStr">
        <is>
          <t>西部</t>
        </is>
      </c>
      <c r="D400" s="6" t="inlineStr">
        <is>
          <t>刘强</t>
        </is>
      </c>
      <c r="E400" s="6" t="inlineStr">
        <is>
          <t>元气营养</t>
        </is>
      </c>
      <c r="F400" s="7" t="n">
        <v>40200</v>
      </c>
      <c r="G400" s="7" t="n">
        <v>24600</v>
      </c>
      <c r="H400" s="7" t="n">
        <v>15600</v>
      </c>
      <c r="I400" s="8" t="n">
        <v>0.3880597014925373</v>
      </c>
    </row>
    <row r="401">
      <c r="A401" s="6" t="inlineStr">
        <is>
          <t>2025-04</t>
        </is>
      </c>
      <c r="B401" s="6" t="inlineStr">
        <is>
          <t>智能穿戴</t>
        </is>
      </c>
      <c r="C401" s="6" t="inlineStr">
        <is>
          <t>西部</t>
        </is>
      </c>
      <c r="D401" s="6" t="inlineStr">
        <is>
          <t>陈静</t>
        </is>
      </c>
      <c r="E401" s="6" t="inlineStr">
        <is>
          <t>环宇体育</t>
        </is>
      </c>
      <c r="F401" s="7" t="n">
        <v>51900</v>
      </c>
      <c r="G401" s="7" t="n">
        <v>32600</v>
      </c>
      <c r="H401" s="7" t="n">
        <v>19300</v>
      </c>
      <c r="I401" s="8" t="n">
        <v>0.371868978805395</v>
      </c>
    </row>
    <row r="402">
      <c r="A402" s="6" t="inlineStr">
        <is>
          <t>2025-05</t>
        </is>
      </c>
      <c r="B402" s="6" t="inlineStr">
        <is>
          <t>篮球装备</t>
        </is>
      </c>
      <c r="C402" s="6" t="inlineStr">
        <is>
          <t>华东</t>
        </is>
      </c>
      <c r="D402" s="6" t="inlineStr">
        <is>
          <t>张伟</t>
        </is>
      </c>
      <c r="E402" s="6" t="inlineStr">
        <is>
          <t>智练体育</t>
        </is>
      </c>
      <c r="F402" s="7" t="n">
        <v>103900</v>
      </c>
      <c r="G402" s="7" t="n">
        <v>70700</v>
      </c>
      <c r="H402" s="7" t="n">
        <v>33200</v>
      </c>
      <c r="I402" s="8" t="n">
        <v>0.3195380173243503</v>
      </c>
    </row>
    <row r="403">
      <c r="A403" s="6" t="inlineStr">
        <is>
          <t>2025-05</t>
        </is>
      </c>
      <c r="B403" s="6" t="inlineStr">
        <is>
          <t>篮球装备</t>
        </is>
      </c>
      <c r="C403" s="6" t="inlineStr">
        <is>
          <t>华东</t>
        </is>
      </c>
      <c r="D403" s="6" t="inlineStr">
        <is>
          <t>李娜</t>
        </is>
      </c>
      <c r="E403" s="6" t="inlineStr">
        <is>
          <t>风尚健身</t>
        </is>
      </c>
      <c r="F403" s="7" t="n">
        <v>119600</v>
      </c>
      <c r="G403" s="7" t="n">
        <v>77000</v>
      </c>
      <c r="H403" s="7" t="n">
        <v>42600</v>
      </c>
      <c r="I403" s="8" t="n">
        <v>0.3561872909698997</v>
      </c>
    </row>
    <row r="404">
      <c r="A404" s="6" t="inlineStr">
        <is>
          <t>2025-05</t>
        </is>
      </c>
      <c r="B404" s="6" t="inlineStr">
        <is>
          <t>篮球装备</t>
        </is>
      </c>
      <c r="C404" s="6" t="inlineStr">
        <is>
          <t>华东</t>
        </is>
      </c>
      <c r="D404" s="6" t="inlineStr">
        <is>
          <t>王芳</t>
        </is>
      </c>
      <c r="E404" s="6" t="inlineStr">
        <is>
          <t>元气营养</t>
        </is>
      </c>
      <c r="F404" s="7" t="n">
        <v>110700</v>
      </c>
      <c r="G404" s="7" t="n">
        <v>69700</v>
      </c>
      <c r="H404" s="7" t="n">
        <v>41000</v>
      </c>
      <c r="I404" s="8" t="n">
        <v>0.3703703703703703</v>
      </c>
    </row>
    <row r="405">
      <c r="A405" s="6" t="inlineStr">
        <is>
          <t>2025-05</t>
        </is>
      </c>
      <c r="B405" s="6" t="inlineStr">
        <is>
          <t>篮球装备</t>
        </is>
      </c>
      <c r="C405" s="6" t="inlineStr">
        <is>
          <t>华东</t>
        </is>
      </c>
      <c r="D405" s="6" t="inlineStr">
        <is>
          <t>刘强</t>
        </is>
      </c>
      <c r="E405" s="6" t="inlineStr">
        <is>
          <t>飞跃训练营</t>
        </is>
      </c>
      <c r="F405" s="7" t="n">
        <v>103300</v>
      </c>
      <c r="G405" s="7" t="n">
        <v>66700</v>
      </c>
      <c r="H405" s="7" t="n">
        <v>36600</v>
      </c>
      <c r="I405" s="8" t="n">
        <v>0.3543078412391094</v>
      </c>
    </row>
    <row r="406">
      <c r="A406" s="6" t="inlineStr">
        <is>
          <t>2025-05</t>
        </is>
      </c>
      <c r="B406" s="6" t="inlineStr">
        <is>
          <t>篮球装备</t>
        </is>
      </c>
      <c r="C406" s="6" t="inlineStr">
        <is>
          <t>华东</t>
        </is>
      </c>
      <c r="D406" s="6" t="inlineStr">
        <is>
          <t>陈静</t>
        </is>
      </c>
      <c r="E406" s="6" t="inlineStr">
        <is>
          <t>优加体能中心</t>
        </is>
      </c>
      <c r="F406" s="7" t="n">
        <v>109600</v>
      </c>
      <c r="G406" s="7" t="n">
        <v>68200</v>
      </c>
      <c r="H406" s="7" t="n">
        <v>41400</v>
      </c>
      <c r="I406" s="8" t="n">
        <v>0.3777372262773723</v>
      </c>
    </row>
    <row r="407">
      <c r="A407" s="6" t="inlineStr">
        <is>
          <t>2025-05</t>
        </is>
      </c>
      <c r="B407" s="6" t="inlineStr">
        <is>
          <t>篮球装备</t>
        </is>
      </c>
      <c r="C407" s="6" t="inlineStr">
        <is>
          <t>华北</t>
        </is>
      </c>
      <c r="D407" s="6" t="inlineStr">
        <is>
          <t>张伟</t>
        </is>
      </c>
      <c r="E407" s="6" t="inlineStr">
        <is>
          <t>活力无限健身</t>
        </is>
      </c>
      <c r="F407" s="7" t="n">
        <v>71300</v>
      </c>
      <c r="G407" s="7" t="n">
        <v>46000</v>
      </c>
      <c r="H407" s="7" t="n">
        <v>25300</v>
      </c>
      <c r="I407" s="8" t="n">
        <v>0.3548387096774194</v>
      </c>
    </row>
    <row r="408">
      <c r="A408" s="6" t="inlineStr">
        <is>
          <t>2025-05</t>
        </is>
      </c>
      <c r="B408" s="6" t="inlineStr">
        <is>
          <t>篮球装备</t>
        </is>
      </c>
      <c r="C408" s="6" t="inlineStr">
        <is>
          <t>华北</t>
        </is>
      </c>
      <c r="D408" s="6" t="inlineStr">
        <is>
          <t>李娜</t>
        </is>
      </c>
      <c r="E408" s="6" t="inlineStr">
        <is>
          <t>强体体育</t>
        </is>
      </c>
      <c r="F408" s="7" t="n">
        <v>88300</v>
      </c>
      <c r="G408" s="7" t="n">
        <v>59800</v>
      </c>
      <c r="H408" s="7" t="n">
        <v>28500</v>
      </c>
      <c r="I408" s="8" t="n">
        <v>0.3227633069082673</v>
      </c>
    </row>
    <row r="409">
      <c r="A409" s="6" t="inlineStr">
        <is>
          <t>2025-05</t>
        </is>
      </c>
      <c r="B409" s="6" t="inlineStr">
        <is>
          <t>篮球装备</t>
        </is>
      </c>
      <c r="C409" s="6" t="inlineStr">
        <is>
          <t>华北</t>
        </is>
      </c>
      <c r="D409" s="6" t="inlineStr">
        <is>
          <t>王芳</t>
        </is>
      </c>
      <c r="E409" s="6" t="inlineStr">
        <is>
          <t>环宇体育</t>
        </is>
      </c>
      <c r="F409" s="7" t="n">
        <v>93000</v>
      </c>
      <c r="G409" s="7" t="n">
        <v>60500</v>
      </c>
      <c r="H409" s="7" t="n">
        <v>32500</v>
      </c>
      <c r="I409" s="8" t="n">
        <v>0.3494623655913979</v>
      </c>
    </row>
    <row r="410">
      <c r="A410" s="6" t="inlineStr">
        <is>
          <t>2025-05</t>
        </is>
      </c>
      <c r="B410" s="6" t="inlineStr">
        <is>
          <t>篮球装备</t>
        </is>
      </c>
      <c r="C410" s="6" t="inlineStr">
        <is>
          <t>华北</t>
        </is>
      </c>
      <c r="D410" s="6" t="inlineStr">
        <is>
          <t>刘强</t>
        </is>
      </c>
      <c r="E410" s="6" t="inlineStr">
        <is>
          <t>童行运动馆</t>
        </is>
      </c>
      <c r="F410" s="7" t="n">
        <v>82400</v>
      </c>
      <c r="G410" s="7" t="n">
        <v>51500</v>
      </c>
      <c r="H410" s="7" t="n">
        <v>30900</v>
      </c>
      <c r="I410" s="8" t="n">
        <v>0.375</v>
      </c>
    </row>
    <row r="411">
      <c r="A411" s="6" t="inlineStr">
        <is>
          <t>2025-05</t>
        </is>
      </c>
      <c r="B411" s="6" t="inlineStr">
        <is>
          <t>篮球装备</t>
        </is>
      </c>
      <c r="C411" s="6" t="inlineStr">
        <is>
          <t>华北</t>
        </is>
      </c>
      <c r="D411" s="6" t="inlineStr">
        <is>
          <t>陈静</t>
        </is>
      </c>
      <c r="E411" s="6" t="inlineStr">
        <is>
          <t>飞跃训练营</t>
        </is>
      </c>
      <c r="F411" s="7" t="n">
        <v>78200</v>
      </c>
      <c r="G411" s="7" t="n">
        <v>48900</v>
      </c>
      <c r="H411" s="7" t="n">
        <v>29300</v>
      </c>
      <c r="I411" s="8" t="n">
        <v>0.3746803069053709</v>
      </c>
    </row>
    <row r="412">
      <c r="A412" s="6" t="inlineStr">
        <is>
          <t>2025-05</t>
        </is>
      </c>
      <c r="B412" s="6" t="inlineStr">
        <is>
          <t>篮球装备</t>
        </is>
      </c>
      <c r="C412" s="6" t="inlineStr">
        <is>
          <t>华南</t>
        </is>
      </c>
      <c r="D412" s="6" t="inlineStr">
        <is>
          <t>张伟</t>
        </is>
      </c>
      <c r="E412" s="6" t="inlineStr">
        <is>
          <t>超能体育</t>
        </is>
      </c>
      <c r="F412" s="7" t="n">
        <v>87500</v>
      </c>
      <c r="G412" s="7" t="n">
        <v>56000</v>
      </c>
      <c r="H412" s="7" t="n">
        <v>31500</v>
      </c>
      <c r="I412" s="8" t="n">
        <v>0.36</v>
      </c>
    </row>
    <row r="413">
      <c r="A413" s="6" t="inlineStr">
        <is>
          <t>2025-05</t>
        </is>
      </c>
      <c r="B413" s="6" t="inlineStr">
        <is>
          <t>篮球装备</t>
        </is>
      </c>
      <c r="C413" s="6" t="inlineStr">
        <is>
          <t>华南</t>
        </is>
      </c>
      <c r="D413" s="6" t="inlineStr">
        <is>
          <t>李娜</t>
        </is>
      </c>
      <c r="E413" s="6" t="inlineStr">
        <is>
          <t>小小运动家</t>
        </is>
      </c>
      <c r="F413" s="7" t="n">
        <v>107000</v>
      </c>
      <c r="G413" s="7" t="n">
        <v>66900</v>
      </c>
      <c r="H413" s="7" t="n">
        <v>40100</v>
      </c>
      <c r="I413" s="8" t="n">
        <v>0.3747663551401869</v>
      </c>
    </row>
    <row r="414">
      <c r="A414" s="6" t="inlineStr">
        <is>
          <t>2025-05</t>
        </is>
      </c>
      <c r="B414" s="6" t="inlineStr">
        <is>
          <t>篮球装备</t>
        </is>
      </c>
      <c r="C414" s="6" t="inlineStr">
        <is>
          <t>华南</t>
        </is>
      </c>
      <c r="D414" s="6" t="inlineStr">
        <is>
          <t>王芳</t>
        </is>
      </c>
      <c r="E414" s="6" t="inlineStr">
        <is>
          <t>小小运动家</t>
        </is>
      </c>
      <c r="F414" s="7" t="n">
        <v>90700</v>
      </c>
      <c r="G414" s="7" t="n">
        <v>59400</v>
      </c>
      <c r="H414" s="7" t="n">
        <v>31300</v>
      </c>
      <c r="I414" s="8" t="n">
        <v>0.3450937155457552</v>
      </c>
    </row>
    <row r="415">
      <c r="A415" s="6" t="inlineStr">
        <is>
          <t>2025-05</t>
        </is>
      </c>
      <c r="B415" s="6" t="inlineStr">
        <is>
          <t>篮球装备</t>
        </is>
      </c>
      <c r="C415" s="6" t="inlineStr">
        <is>
          <t>华南</t>
        </is>
      </c>
      <c r="D415" s="6" t="inlineStr">
        <is>
          <t>刘强</t>
        </is>
      </c>
      <c r="E415" s="6" t="inlineStr">
        <is>
          <t>动能营养</t>
        </is>
      </c>
      <c r="F415" s="7" t="n">
        <v>97000</v>
      </c>
      <c r="G415" s="7" t="n">
        <v>60400</v>
      </c>
      <c r="H415" s="7" t="n">
        <v>36600</v>
      </c>
      <c r="I415" s="8" t="n">
        <v>0.377319587628866</v>
      </c>
    </row>
    <row r="416">
      <c r="A416" s="6" t="inlineStr">
        <is>
          <t>2025-05</t>
        </is>
      </c>
      <c r="B416" s="6" t="inlineStr">
        <is>
          <t>篮球装备</t>
        </is>
      </c>
      <c r="C416" s="6" t="inlineStr">
        <is>
          <t>华南</t>
        </is>
      </c>
      <c r="D416" s="6" t="inlineStr">
        <is>
          <t>陈静</t>
        </is>
      </c>
      <c r="E416" s="6" t="inlineStr">
        <is>
          <t>腾飞体育用品</t>
        </is>
      </c>
      <c r="F416" s="7" t="n">
        <v>80700</v>
      </c>
      <c r="G416" s="7" t="n">
        <v>53500</v>
      </c>
      <c r="H416" s="7" t="n">
        <v>27200</v>
      </c>
      <c r="I416" s="8" t="n">
        <v>0.3370508054522924</v>
      </c>
    </row>
    <row r="417">
      <c r="A417" s="6" t="inlineStr">
        <is>
          <t>2025-05</t>
        </is>
      </c>
      <c r="B417" s="6" t="inlineStr">
        <is>
          <t>篮球装备</t>
        </is>
      </c>
      <c r="C417" s="6" t="inlineStr">
        <is>
          <t>西部</t>
        </is>
      </c>
      <c r="D417" s="6" t="inlineStr">
        <is>
          <t>张伟</t>
        </is>
      </c>
      <c r="E417" s="6" t="inlineStr">
        <is>
          <t>锐动体育用品</t>
        </is>
      </c>
      <c r="F417" s="7" t="n">
        <v>53500</v>
      </c>
      <c r="G417" s="7" t="n">
        <v>34400</v>
      </c>
      <c r="H417" s="7" t="n">
        <v>19100</v>
      </c>
      <c r="I417" s="8" t="n">
        <v>0.3570093457943925</v>
      </c>
    </row>
    <row r="418">
      <c r="A418" s="6" t="inlineStr">
        <is>
          <t>2025-05</t>
        </is>
      </c>
      <c r="B418" s="6" t="inlineStr">
        <is>
          <t>篮球装备</t>
        </is>
      </c>
      <c r="C418" s="6" t="inlineStr">
        <is>
          <t>西部</t>
        </is>
      </c>
      <c r="D418" s="6" t="inlineStr">
        <is>
          <t>李娜</t>
        </is>
      </c>
      <c r="E418" s="6" t="inlineStr">
        <is>
          <t>篮途体育文化</t>
        </is>
      </c>
      <c r="F418" s="7" t="n">
        <v>57000</v>
      </c>
      <c r="G418" s="7" t="n">
        <v>35600</v>
      </c>
      <c r="H418" s="7" t="n">
        <v>21400</v>
      </c>
      <c r="I418" s="8" t="n">
        <v>0.3754385964912281</v>
      </c>
    </row>
    <row r="419">
      <c r="A419" s="6" t="inlineStr">
        <is>
          <t>2025-05</t>
        </is>
      </c>
      <c r="B419" s="6" t="inlineStr">
        <is>
          <t>篮球装备</t>
        </is>
      </c>
      <c r="C419" s="6" t="inlineStr">
        <is>
          <t>西部</t>
        </is>
      </c>
      <c r="D419" s="6" t="inlineStr">
        <is>
          <t>王芳</t>
        </is>
      </c>
      <c r="E419" s="6" t="inlineStr">
        <is>
          <t>启航健身中心</t>
        </is>
      </c>
      <c r="F419" s="7" t="n">
        <v>57400</v>
      </c>
      <c r="G419" s="7" t="n">
        <v>38500</v>
      </c>
      <c r="H419" s="7" t="n">
        <v>18900</v>
      </c>
      <c r="I419" s="8" t="n">
        <v>0.3292682926829268</v>
      </c>
    </row>
    <row r="420">
      <c r="A420" s="6" t="inlineStr">
        <is>
          <t>2025-05</t>
        </is>
      </c>
      <c r="B420" s="6" t="inlineStr">
        <is>
          <t>篮球装备</t>
        </is>
      </c>
      <c r="C420" s="6" t="inlineStr">
        <is>
          <t>西部</t>
        </is>
      </c>
      <c r="D420" s="6" t="inlineStr">
        <is>
          <t>刘强</t>
        </is>
      </c>
      <c r="E420" s="6" t="inlineStr">
        <is>
          <t>活力无限健身</t>
        </is>
      </c>
      <c r="F420" s="7" t="n">
        <v>56200</v>
      </c>
      <c r="G420" s="7" t="n">
        <v>37000</v>
      </c>
      <c r="H420" s="7" t="n">
        <v>19200</v>
      </c>
      <c r="I420" s="8" t="n">
        <v>0.3416370106761566</v>
      </c>
    </row>
    <row r="421">
      <c r="A421" s="6" t="inlineStr">
        <is>
          <t>2025-05</t>
        </is>
      </c>
      <c r="B421" s="6" t="inlineStr">
        <is>
          <t>篮球装备</t>
        </is>
      </c>
      <c r="C421" s="6" t="inlineStr">
        <is>
          <t>西部</t>
        </is>
      </c>
      <c r="D421" s="6" t="inlineStr">
        <is>
          <t>陈静</t>
        </is>
      </c>
      <c r="E421" s="6" t="inlineStr">
        <is>
          <t>康威运动商城</t>
        </is>
      </c>
      <c r="F421" s="7" t="n">
        <v>53900</v>
      </c>
      <c r="G421" s="7" t="n">
        <v>33500</v>
      </c>
      <c r="H421" s="7" t="n">
        <v>20400</v>
      </c>
      <c r="I421" s="8" t="n">
        <v>0.3784786641929499</v>
      </c>
    </row>
    <row r="422">
      <c r="A422" s="6" t="inlineStr">
        <is>
          <t>2025-05</t>
        </is>
      </c>
      <c r="B422" s="6" t="inlineStr">
        <is>
          <t>体适能器材</t>
        </is>
      </c>
      <c r="C422" s="6" t="inlineStr">
        <is>
          <t>华东</t>
        </is>
      </c>
      <c r="D422" s="6" t="inlineStr">
        <is>
          <t>张伟</t>
        </is>
      </c>
      <c r="E422" s="6" t="inlineStr">
        <is>
          <t>腾飞体育用品</t>
        </is>
      </c>
      <c r="F422" s="7" t="n">
        <v>74300</v>
      </c>
      <c r="G422" s="7" t="n">
        <v>53100</v>
      </c>
      <c r="H422" s="7" t="n">
        <v>21200</v>
      </c>
      <c r="I422" s="8" t="n">
        <v>0.2853297442799462</v>
      </c>
    </row>
    <row r="423">
      <c r="A423" s="6" t="inlineStr">
        <is>
          <t>2025-05</t>
        </is>
      </c>
      <c r="B423" s="6" t="inlineStr">
        <is>
          <t>体适能器材</t>
        </is>
      </c>
      <c r="C423" s="6" t="inlineStr">
        <is>
          <t>华东</t>
        </is>
      </c>
      <c r="D423" s="6" t="inlineStr">
        <is>
          <t>李娜</t>
        </is>
      </c>
      <c r="E423" s="6" t="inlineStr">
        <is>
          <t>飞跃训练营</t>
        </is>
      </c>
      <c r="F423" s="7" t="n">
        <v>91600</v>
      </c>
      <c r="G423" s="7" t="n">
        <v>64400</v>
      </c>
      <c r="H423" s="7" t="n">
        <v>27200</v>
      </c>
      <c r="I423" s="8" t="n">
        <v>0.2969432314410481</v>
      </c>
    </row>
    <row r="424">
      <c r="A424" s="6" t="inlineStr">
        <is>
          <t>2025-05</t>
        </is>
      </c>
      <c r="B424" s="6" t="inlineStr">
        <is>
          <t>体适能器材</t>
        </is>
      </c>
      <c r="C424" s="6" t="inlineStr">
        <is>
          <t>华东</t>
        </is>
      </c>
      <c r="D424" s="6" t="inlineStr">
        <is>
          <t>王芳</t>
        </is>
      </c>
      <c r="E424" s="6" t="inlineStr">
        <is>
          <t>极客穿戴</t>
        </is>
      </c>
      <c r="F424" s="7" t="n">
        <v>89500</v>
      </c>
      <c r="G424" s="7" t="n">
        <v>60200</v>
      </c>
      <c r="H424" s="7" t="n">
        <v>29300</v>
      </c>
      <c r="I424" s="8" t="n">
        <v>0.3273743016759776</v>
      </c>
    </row>
    <row r="425">
      <c r="A425" s="6" t="inlineStr">
        <is>
          <t>2025-05</t>
        </is>
      </c>
      <c r="B425" s="6" t="inlineStr">
        <is>
          <t>体适能器材</t>
        </is>
      </c>
      <c r="C425" s="6" t="inlineStr">
        <is>
          <t>华东</t>
        </is>
      </c>
      <c r="D425" s="6" t="inlineStr">
        <is>
          <t>刘强</t>
        </is>
      </c>
      <c r="E425" s="6" t="inlineStr">
        <is>
          <t>跃动少儿运动馆</t>
        </is>
      </c>
      <c r="F425" s="7" t="n">
        <v>66700</v>
      </c>
      <c r="G425" s="7" t="n">
        <v>47600</v>
      </c>
      <c r="H425" s="7" t="n">
        <v>19100</v>
      </c>
      <c r="I425" s="8" t="n">
        <v>0.2863568215892054</v>
      </c>
    </row>
    <row r="426">
      <c r="A426" s="6" t="inlineStr">
        <is>
          <t>2025-05</t>
        </is>
      </c>
      <c r="B426" s="6" t="inlineStr">
        <is>
          <t>体适能器材</t>
        </is>
      </c>
      <c r="C426" s="6" t="inlineStr">
        <is>
          <t>华东</t>
        </is>
      </c>
      <c r="D426" s="6" t="inlineStr">
        <is>
          <t>陈静</t>
        </is>
      </c>
      <c r="E426" s="6" t="inlineStr">
        <is>
          <t>天天向上健身</t>
        </is>
      </c>
      <c r="F426" s="7" t="n">
        <v>83700</v>
      </c>
      <c r="G426" s="7" t="n">
        <v>60800</v>
      </c>
      <c r="H426" s="7" t="n">
        <v>22900</v>
      </c>
      <c r="I426" s="8" t="n">
        <v>0.2735961768219833</v>
      </c>
    </row>
    <row r="427">
      <c r="A427" s="6" t="inlineStr">
        <is>
          <t>2025-05</t>
        </is>
      </c>
      <c r="B427" s="6" t="inlineStr">
        <is>
          <t>体适能器材</t>
        </is>
      </c>
      <c r="C427" s="6" t="inlineStr">
        <is>
          <t>华北</t>
        </is>
      </c>
      <c r="D427" s="6" t="inlineStr">
        <is>
          <t>张伟</t>
        </is>
      </c>
      <c r="E427" s="6" t="inlineStr">
        <is>
          <t>纵横运动</t>
        </is>
      </c>
      <c r="F427" s="7" t="n">
        <v>55000</v>
      </c>
      <c r="G427" s="7" t="n">
        <v>37000</v>
      </c>
      <c r="H427" s="7" t="n">
        <v>18000</v>
      </c>
      <c r="I427" s="8" t="n">
        <v>0.3272727272727273</v>
      </c>
    </row>
    <row r="428">
      <c r="A428" s="6" t="inlineStr">
        <is>
          <t>2025-05</t>
        </is>
      </c>
      <c r="B428" s="6" t="inlineStr">
        <is>
          <t>体适能器材</t>
        </is>
      </c>
      <c r="C428" s="6" t="inlineStr">
        <is>
          <t>华北</t>
        </is>
      </c>
      <c r="D428" s="6" t="inlineStr">
        <is>
          <t>李娜</t>
        </is>
      </c>
      <c r="E428" s="6" t="inlineStr">
        <is>
          <t>乐动体育</t>
        </is>
      </c>
      <c r="F428" s="7" t="n">
        <v>63800</v>
      </c>
      <c r="G428" s="7" t="n">
        <v>44800</v>
      </c>
      <c r="H428" s="7" t="n">
        <v>19000</v>
      </c>
      <c r="I428" s="8" t="n">
        <v>0.2978056426332288</v>
      </c>
    </row>
    <row r="429">
      <c r="A429" s="6" t="inlineStr">
        <is>
          <t>2025-05</t>
        </is>
      </c>
      <c r="B429" s="6" t="inlineStr">
        <is>
          <t>体适能器材</t>
        </is>
      </c>
      <c r="C429" s="6" t="inlineStr">
        <is>
          <t>华北</t>
        </is>
      </c>
      <c r="D429" s="6" t="inlineStr">
        <is>
          <t>王芳</t>
        </is>
      </c>
      <c r="E429" s="6" t="inlineStr">
        <is>
          <t>环宇体育</t>
        </is>
      </c>
      <c r="F429" s="7" t="n">
        <v>58400</v>
      </c>
      <c r="G429" s="7" t="n">
        <v>42500</v>
      </c>
      <c r="H429" s="7" t="n">
        <v>15900</v>
      </c>
      <c r="I429" s="8" t="n">
        <v>0.2722602739726027</v>
      </c>
    </row>
    <row r="430">
      <c r="A430" s="6" t="inlineStr">
        <is>
          <t>2025-05</t>
        </is>
      </c>
      <c r="B430" s="6" t="inlineStr">
        <is>
          <t>体适能器材</t>
        </is>
      </c>
      <c r="C430" s="6" t="inlineStr">
        <is>
          <t>华北</t>
        </is>
      </c>
      <c r="D430" s="6" t="inlineStr">
        <is>
          <t>刘强</t>
        </is>
      </c>
      <c r="E430" s="6" t="inlineStr">
        <is>
          <t>优加体能中心</t>
        </is>
      </c>
      <c r="F430" s="7" t="n">
        <v>66400</v>
      </c>
      <c r="G430" s="7" t="n">
        <v>45900</v>
      </c>
      <c r="H430" s="7" t="n">
        <v>20500</v>
      </c>
      <c r="I430" s="8" t="n">
        <v>0.3087349397590362</v>
      </c>
    </row>
    <row r="431">
      <c r="A431" s="6" t="inlineStr">
        <is>
          <t>2025-05</t>
        </is>
      </c>
      <c r="B431" s="6" t="inlineStr">
        <is>
          <t>体适能器材</t>
        </is>
      </c>
      <c r="C431" s="6" t="inlineStr">
        <is>
          <t>华北</t>
        </is>
      </c>
      <c r="D431" s="6" t="inlineStr">
        <is>
          <t>陈静</t>
        </is>
      </c>
      <c r="E431" s="6" t="inlineStr">
        <is>
          <t>康威运动商城</t>
        </is>
      </c>
      <c r="F431" s="7" t="n">
        <v>52200</v>
      </c>
      <c r="G431" s="7" t="n">
        <v>36800</v>
      </c>
      <c r="H431" s="7" t="n">
        <v>15400</v>
      </c>
      <c r="I431" s="8" t="n">
        <v>0.2950191570881226</v>
      </c>
    </row>
    <row r="432">
      <c r="A432" s="6" t="inlineStr">
        <is>
          <t>2025-05</t>
        </is>
      </c>
      <c r="B432" s="6" t="inlineStr">
        <is>
          <t>体适能器材</t>
        </is>
      </c>
      <c r="C432" s="6" t="inlineStr">
        <is>
          <t>华南</t>
        </is>
      </c>
      <c r="D432" s="6" t="inlineStr">
        <is>
          <t>张伟</t>
        </is>
      </c>
      <c r="E432" s="6" t="inlineStr">
        <is>
          <t>茁长少儿体适能</t>
        </is>
      </c>
      <c r="F432" s="7" t="n">
        <v>60100</v>
      </c>
      <c r="G432" s="7" t="n">
        <v>43300</v>
      </c>
      <c r="H432" s="7" t="n">
        <v>16800</v>
      </c>
      <c r="I432" s="8" t="n">
        <v>0.2795341098169717</v>
      </c>
    </row>
    <row r="433">
      <c r="A433" s="6" t="inlineStr">
        <is>
          <t>2025-05</t>
        </is>
      </c>
      <c r="B433" s="6" t="inlineStr">
        <is>
          <t>体适能器材</t>
        </is>
      </c>
      <c r="C433" s="6" t="inlineStr">
        <is>
          <t>华南</t>
        </is>
      </c>
      <c r="D433" s="6" t="inlineStr">
        <is>
          <t>李娜</t>
        </is>
      </c>
      <c r="E433" s="6" t="inlineStr">
        <is>
          <t>锐动体育用品</t>
        </is>
      </c>
      <c r="F433" s="7" t="n">
        <v>77200</v>
      </c>
      <c r="G433" s="7" t="n">
        <v>55400</v>
      </c>
      <c r="H433" s="7" t="n">
        <v>21800</v>
      </c>
      <c r="I433" s="8" t="n">
        <v>0.2823834196891192</v>
      </c>
    </row>
    <row r="434">
      <c r="A434" s="6" t="inlineStr">
        <is>
          <t>2025-05</t>
        </is>
      </c>
      <c r="B434" s="6" t="inlineStr">
        <is>
          <t>体适能器材</t>
        </is>
      </c>
      <c r="C434" s="6" t="inlineStr">
        <is>
          <t>华南</t>
        </is>
      </c>
      <c r="D434" s="6" t="inlineStr">
        <is>
          <t>王芳</t>
        </is>
      </c>
      <c r="E434" s="6" t="inlineStr">
        <is>
          <t>迈步体育</t>
        </is>
      </c>
      <c r="F434" s="7" t="n">
        <v>61800</v>
      </c>
      <c r="G434" s="7" t="n">
        <v>43600</v>
      </c>
      <c r="H434" s="7" t="n">
        <v>18200</v>
      </c>
      <c r="I434" s="8" t="n">
        <v>0.2944983818770227</v>
      </c>
    </row>
    <row r="435">
      <c r="A435" s="6" t="inlineStr">
        <is>
          <t>2025-05</t>
        </is>
      </c>
      <c r="B435" s="6" t="inlineStr">
        <is>
          <t>体适能器材</t>
        </is>
      </c>
      <c r="C435" s="6" t="inlineStr">
        <is>
          <t>华南</t>
        </is>
      </c>
      <c r="D435" s="6" t="inlineStr">
        <is>
          <t>刘强</t>
        </is>
      </c>
      <c r="E435" s="6" t="inlineStr">
        <is>
          <t>小飞侠运动俱乐部</t>
        </is>
      </c>
      <c r="F435" s="7" t="n">
        <v>56400</v>
      </c>
      <c r="G435" s="7" t="n">
        <v>39000</v>
      </c>
      <c r="H435" s="7" t="n">
        <v>17400</v>
      </c>
      <c r="I435" s="8" t="n">
        <v>0.3085106382978723</v>
      </c>
    </row>
    <row r="436">
      <c r="A436" s="6" t="inlineStr">
        <is>
          <t>2025-05</t>
        </is>
      </c>
      <c r="B436" s="6" t="inlineStr">
        <is>
          <t>体适能器材</t>
        </is>
      </c>
      <c r="C436" s="6" t="inlineStr">
        <is>
          <t>华南</t>
        </is>
      </c>
      <c r="D436" s="6" t="inlineStr">
        <is>
          <t>陈静</t>
        </is>
      </c>
      <c r="E436" s="6" t="inlineStr">
        <is>
          <t>锐动体育用品</t>
        </is>
      </c>
      <c r="F436" s="7" t="n">
        <v>58600</v>
      </c>
      <c r="G436" s="7" t="n">
        <v>41400</v>
      </c>
      <c r="H436" s="7" t="n">
        <v>17200</v>
      </c>
      <c r="I436" s="8" t="n">
        <v>0.2935153583617747</v>
      </c>
    </row>
    <row r="437">
      <c r="A437" s="6" t="inlineStr">
        <is>
          <t>2025-05</t>
        </is>
      </c>
      <c r="B437" s="6" t="inlineStr">
        <is>
          <t>体适能器材</t>
        </is>
      </c>
      <c r="C437" s="6" t="inlineStr">
        <is>
          <t>西部</t>
        </is>
      </c>
      <c r="D437" s="6" t="inlineStr">
        <is>
          <t>张伟</t>
        </is>
      </c>
      <c r="E437" s="6" t="inlineStr">
        <is>
          <t>冠军之路俱乐部</t>
        </is>
      </c>
      <c r="F437" s="7" t="n">
        <v>43300</v>
      </c>
      <c r="G437" s="7" t="n">
        <v>30000</v>
      </c>
      <c r="H437" s="7" t="n">
        <v>13300</v>
      </c>
      <c r="I437" s="8" t="n">
        <v>0.3071593533487298</v>
      </c>
    </row>
    <row r="438">
      <c r="A438" s="6" t="inlineStr">
        <is>
          <t>2025-05</t>
        </is>
      </c>
      <c r="B438" s="6" t="inlineStr">
        <is>
          <t>体适能器材</t>
        </is>
      </c>
      <c r="C438" s="6" t="inlineStr">
        <is>
          <t>西部</t>
        </is>
      </c>
      <c r="D438" s="6" t="inlineStr">
        <is>
          <t>李娜</t>
        </is>
      </c>
      <c r="E438" s="6" t="inlineStr">
        <is>
          <t>元气营养</t>
        </is>
      </c>
      <c r="F438" s="7" t="n">
        <v>39400</v>
      </c>
      <c r="G438" s="7" t="n">
        <v>28100</v>
      </c>
      <c r="H438" s="7" t="n">
        <v>11300</v>
      </c>
      <c r="I438" s="8" t="n">
        <v>0.2868020304568528</v>
      </c>
    </row>
    <row r="439">
      <c r="A439" s="6" t="inlineStr">
        <is>
          <t>2025-05</t>
        </is>
      </c>
      <c r="B439" s="6" t="inlineStr">
        <is>
          <t>体适能器材</t>
        </is>
      </c>
      <c r="C439" s="6" t="inlineStr">
        <is>
          <t>西部</t>
        </is>
      </c>
      <c r="D439" s="6" t="inlineStr">
        <is>
          <t>王芳</t>
        </is>
      </c>
      <c r="E439" s="6" t="inlineStr">
        <is>
          <t>极客穿戴</t>
        </is>
      </c>
      <c r="F439" s="7" t="n">
        <v>43800</v>
      </c>
      <c r="G439" s="7" t="n">
        <v>30100</v>
      </c>
      <c r="H439" s="7" t="n">
        <v>13700</v>
      </c>
      <c r="I439" s="8" t="n">
        <v>0.3127853881278539</v>
      </c>
    </row>
    <row r="440">
      <c r="A440" s="6" t="inlineStr">
        <is>
          <t>2025-05</t>
        </is>
      </c>
      <c r="B440" s="6" t="inlineStr">
        <is>
          <t>体适能器材</t>
        </is>
      </c>
      <c r="C440" s="6" t="inlineStr">
        <is>
          <t>西部</t>
        </is>
      </c>
      <c r="D440" s="6" t="inlineStr">
        <is>
          <t>刘强</t>
        </is>
      </c>
      <c r="E440" s="6" t="inlineStr">
        <is>
          <t>星跃体育</t>
        </is>
      </c>
      <c r="F440" s="7" t="n">
        <v>38500</v>
      </c>
      <c r="G440" s="7" t="n">
        <v>26700</v>
      </c>
      <c r="H440" s="7" t="n">
        <v>11800</v>
      </c>
      <c r="I440" s="8" t="n">
        <v>0.3064935064935065</v>
      </c>
    </row>
    <row r="441">
      <c r="A441" s="6" t="inlineStr">
        <is>
          <t>2025-05</t>
        </is>
      </c>
      <c r="B441" s="6" t="inlineStr">
        <is>
          <t>体适能器材</t>
        </is>
      </c>
      <c r="C441" s="6" t="inlineStr">
        <is>
          <t>西部</t>
        </is>
      </c>
      <c r="D441" s="6" t="inlineStr">
        <is>
          <t>陈静</t>
        </is>
      </c>
      <c r="E441" s="6" t="inlineStr">
        <is>
          <t>冠军之路俱乐部</t>
        </is>
      </c>
      <c r="F441" s="7" t="n">
        <v>48800</v>
      </c>
      <c r="G441" s="7" t="n">
        <v>35000</v>
      </c>
      <c r="H441" s="7" t="n">
        <v>13800</v>
      </c>
      <c r="I441" s="8" t="n">
        <v>0.2827868852459016</v>
      </c>
    </row>
    <row r="442">
      <c r="A442" s="6" t="inlineStr">
        <is>
          <t>2025-05</t>
        </is>
      </c>
      <c r="B442" s="6" t="inlineStr">
        <is>
          <t>训练服饰</t>
        </is>
      </c>
      <c r="C442" s="6" t="inlineStr">
        <is>
          <t>华东</t>
        </is>
      </c>
      <c r="D442" s="6" t="inlineStr">
        <is>
          <t>张伟</t>
        </is>
      </c>
      <c r="E442" s="6" t="inlineStr">
        <is>
          <t>跃动少儿运动馆</t>
        </is>
      </c>
      <c r="F442" s="7" t="n">
        <v>58300</v>
      </c>
      <c r="G442" s="7" t="n">
        <v>31000</v>
      </c>
      <c r="H442" s="7" t="n">
        <v>27300</v>
      </c>
      <c r="I442" s="8" t="n">
        <v>0.4682675814751286</v>
      </c>
    </row>
    <row r="443">
      <c r="A443" s="6" t="inlineStr">
        <is>
          <t>2025-05</t>
        </is>
      </c>
      <c r="B443" s="6" t="inlineStr">
        <is>
          <t>训练服饰</t>
        </is>
      </c>
      <c r="C443" s="6" t="inlineStr">
        <is>
          <t>华东</t>
        </is>
      </c>
      <c r="D443" s="6" t="inlineStr">
        <is>
          <t>李娜</t>
        </is>
      </c>
      <c r="E443" s="6" t="inlineStr">
        <is>
          <t>卓越体能训练营</t>
        </is>
      </c>
      <c r="F443" s="7" t="n">
        <v>55600</v>
      </c>
      <c r="G443" s="7" t="n">
        <v>31200</v>
      </c>
      <c r="H443" s="7" t="n">
        <v>24400</v>
      </c>
      <c r="I443" s="8" t="n">
        <v>0.4388489208633093</v>
      </c>
    </row>
    <row r="444">
      <c r="A444" s="6" t="inlineStr">
        <is>
          <t>2025-05</t>
        </is>
      </c>
      <c r="B444" s="6" t="inlineStr">
        <is>
          <t>训练服饰</t>
        </is>
      </c>
      <c r="C444" s="6" t="inlineStr">
        <is>
          <t>华东</t>
        </is>
      </c>
      <c r="D444" s="6" t="inlineStr">
        <is>
          <t>王芳</t>
        </is>
      </c>
      <c r="E444" s="6" t="inlineStr">
        <is>
          <t>飞跃训练营</t>
        </is>
      </c>
      <c r="F444" s="7" t="n">
        <v>55400</v>
      </c>
      <c r="G444" s="7" t="n">
        <v>30600</v>
      </c>
      <c r="H444" s="7" t="n">
        <v>24800</v>
      </c>
      <c r="I444" s="8" t="n">
        <v>0.4476534296028881</v>
      </c>
    </row>
    <row r="445">
      <c r="A445" s="6" t="inlineStr">
        <is>
          <t>2025-05</t>
        </is>
      </c>
      <c r="B445" s="6" t="inlineStr">
        <is>
          <t>训练服饰</t>
        </is>
      </c>
      <c r="C445" s="6" t="inlineStr">
        <is>
          <t>华东</t>
        </is>
      </c>
      <c r="D445" s="6" t="inlineStr">
        <is>
          <t>刘强</t>
        </is>
      </c>
      <c r="E445" s="6" t="inlineStr">
        <is>
          <t>天天向上健身</t>
        </is>
      </c>
      <c r="F445" s="7" t="n">
        <v>47600</v>
      </c>
      <c r="G445" s="7" t="n">
        <v>26500</v>
      </c>
      <c r="H445" s="7" t="n">
        <v>21100</v>
      </c>
      <c r="I445" s="8" t="n">
        <v>0.4432773109243697</v>
      </c>
    </row>
    <row r="446">
      <c r="A446" s="6" t="inlineStr">
        <is>
          <t>2025-05</t>
        </is>
      </c>
      <c r="B446" s="6" t="inlineStr">
        <is>
          <t>训练服饰</t>
        </is>
      </c>
      <c r="C446" s="6" t="inlineStr">
        <is>
          <t>华东</t>
        </is>
      </c>
      <c r="D446" s="6" t="inlineStr">
        <is>
          <t>陈静</t>
        </is>
      </c>
      <c r="E446" s="6" t="inlineStr">
        <is>
          <t>迈步体育</t>
        </is>
      </c>
      <c r="F446" s="7" t="n">
        <v>56500</v>
      </c>
      <c r="G446" s="7" t="n">
        <v>30400</v>
      </c>
      <c r="H446" s="7" t="n">
        <v>26100</v>
      </c>
      <c r="I446" s="8" t="n">
        <v>0.4619469026548673</v>
      </c>
    </row>
    <row r="447">
      <c r="A447" s="6" t="inlineStr">
        <is>
          <t>2025-05</t>
        </is>
      </c>
      <c r="B447" s="6" t="inlineStr">
        <is>
          <t>训练服饰</t>
        </is>
      </c>
      <c r="C447" s="6" t="inlineStr">
        <is>
          <t>华北</t>
        </is>
      </c>
      <c r="D447" s="6" t="inlineStr">
        <is>
          <t>张伟</t>
        </is>
      </c>
      <c r="E447" s="6" t="inlineStr">
        <is>
          <t>卓越体能训练营</t>
        </is>
      </c>
      <c r="F447" s="7" t="n">
        <v>37200</v>
      </c>
      <c r="G447" s="7" t="n">
        <v>19700</v>
      </c>
      <c r="H447" s="7" t="n">
        <v>17500</v>
      </c>
      <c r="I447" s="8" t="n">
        <v>0.4704301075268817</v>
      </c>
    </row>
    <row r="448">
      <c r="A448" s="6" t="inlineStr">
        <is>
          <t>2025-05</t>
        </is>
      </c>
      <c r="B448" s="6" t="inlineStr">
        <is>
          <t>训练服饰</t>
        </is>
      </c>
      <c r="C448" s="6" t="inlineStr">
        <is>
          <t>华北</t>
        </is>
      </c>
      <c r="D448" s="6" t="inlineStr">
        <is>
          <t>李娜</t>
        </is>
      </c>
      <c r="E448" s="6" t="inlineStr">
        <is>
          <t>锐健身工作室</t>
        </is>
      </c>
      <c r="F448" s="7" t="n">
        <v>36500</v>
      </c>
      <c r="G448" s="7" t="n">
        <v>19000</v>
      </c>
      <c r="H448" s="7" t="n">
        <v>17500</v>
      </c>
      <c r="I448" s="8" t="n">
        <v>0.4794520547945205</v>
      </c>
    </row>
    <row r="449">
      <c r="A449" s="6" t="inlineStr">
        <is>
          <t>2025-05</t>
        </is>
      </c>
      <c r="B449" s="6" t="inlineStr">
        <is>
          <t>训练服饰</t>
        </is>
      </c>
      <c r="C449" s="6" t="inlineStr">
        <is>
          <t>华北</t>
        </is>
      </c>
      <c r="D449" s="6" t="inlineStr">
        <is>
          <t>王芳</t>
        </is>
      </c>
      <c r="E449" s="6" t="inlineStr">
        <is>
          <t>元气营养</t>
        </is>
      </c>
      <c r="F449" s="7" t="n">
        <v>41200</v>
      </c>
      <c r="G449" s="7" t="n">
        <v>23100</v>
      </c>
      <c r="H449" s="7" t="n">
        <v>18100</v>
      </c>
      <c r="I449" s="8" t="n">
        <v>0.4393203883495146</v>
      </c>
    </row>
    <row r="450">
      <c r="A450" s="6" t="inlineStr">
        <is>
          <t>2025-05</t>
        </is>
      </c>
      <c r="B450" s="6" t="inlineStr">
        <is>
          <t>训练服饰</t>
        </is>
      </c>
      <c r="C450" s="6" t="inlineStr">
        <is>
          <t>华北</t>
        </is>
      </c>
      <c r="D450" s="6" t="inlineStr">
        <is>
          <t>刘强</t>
        </is>
      </c>
      <c r="E450" s="6" t="inlineStr">
        <is>
          <t>锋行体育</t>
        </is>
      </c>
      <c r="F450" s="7" t="n">
        <v>33700</v>
      </c>
      <c r="G450" s="7" t="n">
        <v>18400</v>
      </c>
      <c r="H450" s="7" t="n">
        <v>15300</v>
      </c>
      <c r="I450" s="8" t="n">
        <v>0.4540059347181009</v>
      </c>
    </row>
    <row r="451">
      <c r="A451" s="6" t="inlineStr">
        <is>
          <t>2025-05</t>
        </is>
      </c>
      <c r="B451" s="6" t="inlineStr">
        <is>
          <t>训练服饰</t>
        </is>
      </c>
      <c r="C451" s="6" t="inlineStr">
        <is>
          <t>华北</t>
        </is>
      </c>
      <c r="D451" s="6" t="inlineStr">
        <is>
          <t>陈静</t>
        </is>
      </c>
      <c r="E451" s="6" t="inlineStr">
        <is>
          <t>小飞侠运动俱乐部</t>
        </is>
      </c>
      <c r="F451" s="7" t="n">
        <v>44200</v>
      </c>
      <c r="G451" s="7" t="n">
        <v>25600</v>
      </c>
      <c r="H451" s="7" t="n">
        <v>18600</v>
      </c>
      <c r="I451" s="8" t="n">
        <v>0.4208144796380091</v>
      </c>
    </row>
    <row r="452">
      <c r="A452" s="6" t="inlineStr">
        <is>
          <t>2025-05</t>
        </is>
      </c>
      <c r="B452" s="6" t="inlineStr">
        <is>
          <t>训练服饰</t>
        </is>
      </c>
      <c r="C452" s="6" t="inlineStr">
        <is>
          <t>华南</t>
        </is>
      </c>
      <c r="D452" s="6" t="inlineStr">
        <is>
          <t>张伟</t>
        </is>
      </c>
      <c r="E452" s="6" t="inlineStr">
        <is>
          <t>童行运动馆</t>
        </is>
      </c>
      <c r="F452" s="7" t="n">
        <v>52700</v>
      </c>
      <c r="G452" s="7" t="n">
        <v>29100</v>
      </c>
      <c r="H452" s="7" t="n">
        <v>23600</v>
      </c>
      <c r="I452" s="8" t="n">
        <v>0.4478178368121442</v>
      </c>
    </row>
    <row r="453">
      <c r="A453" s="6" t="inlineStr">
        <is>
          <t>2025-05</t>
        </is>
      </c>
      <c r="B453" s="6" t="inlineStr">
        <is>
          <t>训练服饰</t>
        </is>
      </c>
      <c r="C453" s="6" t="inlineStr">
        <is>
          <t>华南</t>
        </is>
      </c>
      <c r="D453" s="6" t="inlineStr">
        <is>
          <t>李娜</t>
        </is>
      </c>
      <c r="E453" s="6" t="inlineStr">
        <is>
          <t>锋行体育</t>
        </is>
      </c>
      <c r="F453" s="7" t="n">
        <v>42800</v>
      </c>
      <c r="G453" s="7" t="n">
        <v>24400</v>
      </c>
      <c r="H453" s="7" t="n">
        <v>18400</v>
      </c>
      <c r="I453" s="8" t="n">
        <v>0.4299065420560748</v>
      </c>
    </row>
    <row r="454">
      <c r="A454" s="6" t="inlineStr">
        <is>
          <t>2025-05</t>
        </is>
      </c>
      <c r="B454" s="6" t="inlineStr">
        <is>
          <t>训练服饰</t>
        </is>
      </c>
      <c r="C454" s="6" t="inlineStr">
        <is>
          <t>华南</t>
        </is>
      </c>
      <c r="D454" s="6" t="inlineStr">
        <is>
          <t>王芳</t>
        </is>
      </c>
      <c r="E454" s="6" t="inlineStr">
        <is>
          <t>恒康营养</t>
        </is>
      </c>
      <c r="F454" s="7" t="n">
        <v>44500</v>
      </c>
      <c r="G454" s="7" t="n">
        <v>24400</v>
      </c>
      <c r="H454" s="7" t="n">
        <v>20100</v>
      </c>
      <c r="I454" s="8" t="n">
        <v>0.451685393258427</v>
      </c>
    </row>
    <row r="455">
      <c r="A455" s="6" t="inlineStr">
        <is>
          <t>2025-05</t>
        </is>
      </c>
      <c r="B455" s="6" t="inlineStr">
        <is>
          <t>训练服饰</t>
        </is>
      </c>
      <c r="C455" s="6" t="inlineStr">
        <is>
          <t>华南</t>
        </is>
      </c>
      <c r="D455" s="6" t="inlineStr">
        <is>
          <t>刘强</t>
        </is>
      </c>
      <c r="E455" s="6" t="inlineStr">
        <is>
          <t>康威运动商城</t>
        </is>
      </c>
      <c r="F455" s="7" t="n">
        <v>44800</v>
      </c>
      <c r="G455" s="7" t="n">
        <v>25400</v>
      </c>
      <c r="H455" s="7" t="n">
        <v>19400</v>
      </c>
      <c r="I455" s="8" t="n">
        <v>0.4330357142857143</v>
      </c>
    </row>
    <row r="456">
      <c r="A456" s="6" t="inlineStr">
        <is>
          <t>2025-05</t>
        </is>
      </c>
      <c r="B456" s="6" t="inlineStr">
        <is>
          <t>训练服饰</t>
        </is>
      </c>
      <c r="C456" s="6" t="inlineStr">
        <is>
          <t>华南</t>
        </is>
      </c>
      <c r="D456" s="6" t="inlineStr">
        <is>
          <t>陈静</t>
        </is>
      </c>
      <c r="E456" s="6" t="inlineStr">
        <is>
          <t>强体体育</t>
        </is>
      </c>
      <c r="F456" s="7" t="n">
        <v>48500</v>
      </c>
      <c r="G456" s="7" t="n">
        <v>27900</v>
      </c>
      <c r="H456" s="7" t="n">
        <v>20600</v>
      </c>
      <c r="I456" s="8" t="n">
        <v>0.4247422680412371</v>
      </c>
    </row>
    <row r="457">
      <c r="A457" s="6" t="inlineStr">
        <is>
          <t>2025-05</t>
        </is>
      </c>
      <c r="B457" s="6" t="inlineStr">
        <is>
          <t>训练服饰</t>
        </is>
      </c>
      <c r="C457" s="6" t="inlineStr">
        <is>
          <t>西部</t>
        </is>
      </c>
      <c r="D457" s="6" t="inlineStr">
        <is>
          <t>张伟</t>
        </is>
      </c>
      <c r="E457" s="6" t="inlineStr">
        <is>
          <t>启航健身中心</t>
        </is>
      </c>
      <c r="F457" s="7" t="n">
        <v>25200</v>
      </c>
      <c r="G457" s="7" t="n">
        <v>14100</v>
      </c>
      <c r="H457" s="7" t="n">
        <v>11100</v>
      </c>
      <c r="I457" s="8" t="n">
        <v>0.4404761904761905</v>
      </c>
    </row>
    <row r="458">
      <c r="A458" s="6" t="inlineStr">
        <is>
          <t>2025-05</t>
        </is>
      </c>
      <c r="B458" s="6" t="inlineStr">
        <is>
          <t>训练服饰</t>
        </is>
      </c>
      <c r="C458" s="6" t="inlineStr">
        <is>
          <t>西部</t>
        </is>
      </c>
      <c r="D458" s="6" t="inlineStr">
        <is>
          <t>李娜</t>
        </is>
      </c>
      <c r="E458" s="6" t="inlineStr">
        <is>
          <t>领跑体育</t>
        </is>
      </c>
      <c r="F458" s="7" t="n">
        <v>31300</v>
      </c>
      <c r="G458" s="7" t="n">
        <v>17300</v>
      </c>
      <c r="H458" s="7" t="n">
        <v>14000</v>
      </c>
      <c r="I458" s="8" t="n">
        <v>0.4472843450479233</v>
      </c>
    </row>
    <row r="459">
      <c r="A459" s="6" t="inlineStr">
        <is>
          <t>2025-05</t>
        </is>
      </c>
      <c r="B459" s="6" t="inlineStr">
        <is>
          <t>训练服饰</t>
        </is>
      </c>
      <c r="C459" s="6" t="inlineStr">
        <is>
          <t>西部</t>
        </is>
      </c>
      <c r="D459" s="6" t="inlineStr">
        <is>
          <t>王芳</t>
        </is>
      </c>
      <c r="E459" s="6" t="inlineStr">
        <is>
          <t>锐健身工作室</t>
        </is>
      </c>
      <c r="F459" s="7" t="n">
        <v>28500</v>
      </c>
      <c r="G459" s="7" t="n">
        <v>15000</v>
      </c>
      <c r="H459" s="7" t="n">
        <v>13500</v>
      </c>
      <c r="I459" s="8" t="n">
        <v>0.4736842105263158</v>
      </c>
    </row>
    <row r="460">
      <c r="A460" s="6" t="inlineStr">
        <is>
          <t>2025-05</t>
        </is>
      </c>
      <c r="B460" s="6" t="inlineStr">
        <is>
          <t>训练服饰</t>
        </is>
      </c>
      <c r="C460" s="6" t="inlineStr">
        <is>
          <t>西部</t>
        </is>
      </c>
      <c r="D460" s="6" t="inlineStr">
        <is>
          <t>刘强</t>
        </is>
      </c>
      <c r="E460" s="6" t="inlineStr">
        <is>
          <t>康威运动商城</t>
        </is>
      </c>
      <c r="F460" s="7" t="n">
        <v>24800</v>
      </c>
      <c r="G460" s="7" t="n">
        <v>13300</v>
      </c>
      <c r="H460" s="7" t="n">
        <v>11500</v>
      </c>
      <c r="I460" s="8" t="n">
        <v>0.4637096774193548</v>
      </c>
    </row>
    <row r="461">
      <c r="A461" s="6" t="inlineStr">
        <is>
          <t>2025-05</t>
        </is>
      </c>
      <c r="B461" s="6" t="inlineStr">
        <is>
          <t>训练服饰</t>
        </is>
      </c>
      <c r="C461" s="6" t="inlineStr">
        <is>
          <t>西部</t>
        </is>
      </c>
      <c r="D461" s="6" t="inlineStr">
        <is>
          <t>陈静</t>
        </is>
      </c>
      <c r="E461" s="6" t="inlineStr">
        <is>
          <t>优加体能中心</t>
        </is>
      </c>
      <c r="F461" s="7" t="n">
        <v>28700</v>
      </c>
      <c r="G461" s="7" t="n">
        <v>15700</v>
      </c>
      <c r="H461" s="7" t="n">
        <v>13000</v>
      </c>
      <c r="I461" s="8" t="n">
        <v>0.4529616724738676</v>
      </c>
    </row>
    <row r="462">
      <c r="A462" s="6" t="inlineStr">
        <is>
          <t>2025-05</t>
        </is>
      </c>
      <c r="B462" s="6" t="inlineStr">
        <is>
          <t>营养补给</t>
        </is>
      </c>
      <c r="C462" s="6" t="inlineStr">
        <is>
          <t>华东</t>
        </is>
      </c>
      <c r="D462" s="6" t="inlineStr">
        <is>
          <t>张伟</t>
        </is>
      </c>
      <c r="E462" s="6" t="inlineStr">
        <is>
          <t>巅峰运动</t>
        </is>
      </c>
      <c r="F462" s="7" t="n">
        <v>65800</v>
      </c>
      <c r="G462" s="7" t="n">
        <v>48600</v>
      </c>
      <c r="H462" s="7" t="n">
        <v>17200</v>
      </c>
      <c r="I462" s="8" t="n">
        <v>0.2613981762917933</v>
      </c>
    </row>
    <row r="463">
      <c r="A463" s="6" t="inlineStr">
        <is>
          <t>2025-05</t>
        </is>
      </c>
      <c r="B463" s="6" t="inlineStr">
        <is>
          <t>营养补给</t>
        </is>
      </c>
      <c r="C463" s="6" t="inlineStr">
        <is>
          <t>华东</t>
        </is>
      </c>
      <c r="D463" s="6" t="inlineStr">
        <is>
          <t>李娜</t>
        </is>
      </c>
      <c r="E463" s="6" t="inlineStr">
        <is>
          <t>锐动体育用品</t>
        </is>
      </c>
      <c r="F463" s="7" t="n">
        <v>77300</v>
      </c>
      <c r="G463" s="7" t="n">
        <v>57200</v>
      </c>
      <c r="H463" s="7" t="n">
        <v>20100</v>
      </c>
      <c r="I463" s="8" t="n">
        <v>0.2600258732212161</v>
      </c>
    </row>
    <row r="464">
      <c r="A464" s="6" t="inlineStr">
        <is>
          <t>2025-05</t>
        </is>
      </c>
      <c r="B464" s="6" t="inlineStr">
        <is>
          <t>营养补给</t>
        </is>
      </c>
      <c r="C464" s="6" t="inlineStr">
        <is>
          <t>华东</t>
        </is>
      </c>
      <c r="D464" s="6" t="inlineStr">
        <is>
          <t>王芳</t>
        </is>
      </c>
      <c r="E464" s="6" t="inlineStr">
        <is>
          <t>纵横运动</t>
        </is>
      </c>
      <c r="F464" s="7" t="n">
        <v>69300</v>
      </c>
      <c r="G464" s="7" t="n">
        <v>53300</v>
      </c>
      <c r="H464" s="7" t="n">
        <v>16000</v>
      </c>
      <c r="I464" s="8" t="n">
        <v>0.2308802308802309</v>
      </c>
    </row>
    <row r="465">
      <c r="A465" s="6" t="inlineStr">
        <is>
          <t>2025-05</t>
        </is>
      </c>
      <c r="B465" s="6" t="inlineStr">
        <is>
          <t>营养补给</t>
        </is>
      </c>
      <c r="C465" s="6" t="inlineStr">
        <is>
          <t>华东</t>
        </is>
      </c>
      <c r="D465" s="6" t="inlineStr">
        <is>
          <t>刘强</t>
        </is>
      </c>
      <c r="E465" s="6" t="inlineStr">
        <is>
          <t>星跃体育</t>
        </is>
      </c>
      <c r="F465" s="7" t="n">
        <v>59600</v>
      </c>
      <c r="G465" s="7" t="n">
        <v>45500</v>
      </c>
      <c r="H465" s="7" t="n">
        <v>14100</v>
      </c>
      <c r="I465" s="8" t="n">
        <v>0.2365771812080537</v>
      </c>
    </row>
    <row r="466">
      <c r="A466" s="6" t="inlineStr">
        <is>
          <t>2025-05</t>
        </is>
      </c>
      <c r="B466" s="6" t="inlineStr">
        <is>
          <t>营养补给</t>
        </is>
      </c>
      <c r="C466" s="6" t="inlineStr">
        <is>
          <t>华东</t>
        </is>
      </c>
      <c r="D466" s="6" t="inlineStr">
        <is>
          <t>陈静</t>
        </is>
      </c>
      <c r="E466" s="6" t="inlineStr">
        <is>
          <t>恒康营养</t>
        </is>
      </c>
      <c r="F466" s="7" t="n">
        <v>64600</v>
      </c>
      <c r="G466" s="7" t="n">
        <v>49600</v>
      </c>
      <c r="H466" s="7" t="n">
        <v>15000</v>
      </c>
      <c r="I466" s="8" t="n">
        <v>0.2321981424148607</v>
      </c>
    </row>
    <row r="467">
      <c r="A467" s="6" t="inlineStr">
        <is>
          <t>2025-05</t>
        </is>
      </c>
      <c r="B467" s="6" t="inlineStr">
        <is>
          <t>营养补给</t>
        </is>
      </c>
      <c r="C467" s="6" t="inlineStr">
        <is>
          <t>华北</t>
        </is>
      </c>
      <c r="D467" s="6" t="inlineStr">
        <is>
          <t>张伟</t>
        </is>
      </c>
      <c r="E467" s="6" t="inlineStr">
        <is>
          <t>腾飞体育用品</t>
        </is>
      </c>
      <c r="F467" s="7" t="n">
        <v>53800</v>
      </c>
      <c r="G467" s="7" t="n">
        <v>39000</v>
      </c>
      <c r="H467" s="7" t="n">
        <v>14800</v>
      </c>
      <c r="I467" s="8" t="n">
        <v>0.275092936802974</v>
      </c>
    </row>
    <row r="468">
      <c r="A468" s="6" t="inlineStr">
        <is>
          <t>2025-05</t>
        </is>
      </c>
      <c r="B468" s="6" t="inlineStr">
        <is>
          <t>营养补给</t>
        </is>
      </c>
      <c r="C468" s="6" t="inlineStr">
        <is>
          <t>华北</t>
        </is>
      </c>
      <c r="D468" s="6" t="inlineStr">
        <is>
          <t>李娜</t>
        </is>
      </c>
      <c r="E468" s="6" t="inlineStr">
        <is>
          <t>篮途体育文化</t>
        </is>
      </c>
      <c r="F468" s="7" t="n">
        <v>47800</v>
      </c>
      <c r="G468" s="7" t="n">
        <v>36500</v>
      </c>
      <c r="H468" s="7" t="n">
        <v>11300</v>
      </c>
      <c r="I468" s="8" t="n">
        <v>0.2364016736401674</v>
      </c>
    </row>
    <row r="469">
      <c r="A469" s="6" t="inlineStr">
        <is>
          <t>2025-05</t>
        </is>
      </c>
      <c r="B469" s="6" t="inlineStr">
        <is>
          <t>营养补给</t>
        </is>
      </c>
      <c r="C469" s="6" t="inlineStr">
        <is>
          <t>华北</t>
        </is>
      </c>
      <c r="D469" s="6" t="inlineStr">
        <is>
          <t>王芳</t>
        </is>
      </c>
      <c r="E469" s="6" t="inlineStr">
        <is>
          <t>恒康营养</t>
        </is>
      </c>
      <c r="F469" s="7" t="n">
        <v>59300</v>
      </c>
      <c r="G469" s="7" t="n">
        <v>45300</v>
      </c>
      <c r="H469" s="7" t="n">
        <v>14000</v>
      </c>
      <c r="I469" s="8" t="n">
        <v>0.2360876897133221</v>
      </c>
    </row>
    <row r="470">
      <c r="A470" s="6" t="inlineStr">
        <is>
          <t>2025-05</t>
        </is>
      </c>
      <c r="B470" s="6" t="inlineStr">
        <is>
          <t>营养补给</t>
        </is>
      </c>
      <c r="C470" s="6" t="inlineStr">
        <is>
          <t>华北</t>
        </is>
      </c>
      <c r="D470" s="6" t="inlineStr">
        <is>
          <t>刘强</t>
        </is>
      </c>
      <c r="E470" s="6" t="inlineStr">
        <is>
          <t>优加体能中心</t>
        </is>
      </c>
      <c r="F470" s="7" t="n">
        <v>49900</v>
      </c>
      <c r="G470" s="7" t="n">
        <v>38600</v>
      </c>
      <c r="H470" s="7" t="n">
        <v>11300</v>
      </c>
      <c r="I470" s="8" t="n">
        <v>0.2264529058116233</v>
      </c>
    </row>
    <row r="471">
      <c r="A471" s="6" t="inlineStr">
        <is>
          <t>2025-05</t>
        </is>
      </c>
      <c r="B471" s="6" t="inlineStr">
        <is>
          <t>营养补给</t>
        </is>
      </c>
      <c r="C471" s="6" t="inlineStr">
        <is>
          <t>华北</t>
        </is>
      </c>
      <c r="D471" s="6" t="inlineStr">
        <is>
          <t>陈静</t>
        </is>
      </c>
      <c r="E471" s="6" t="inlineStr">
        <is>
          <t>乐动体育</t>
        </is>
      </c>
      <c r="F471" s="7" t="n">
        <v>50100</v>
      </c>
      <c r="G471" s="7" t="n">
        <v>37200</v>
      </c>
      <c r="H471" s="7" t="n">
        <v>12900</v>
      </c>
      <c r="I471" s="8" t="n">
        <v>0.2574850299401197</v>
      </c>
    </row>
    <row r="472">
      <c r="A472" s="6" t="inlineStr">
        <is>
          <t>2025-05</t>
        </is>
      </c>
      <c r="B472" s="6" t="inlineStr">
        <is>
          <t>营养补给</t>
        </is>
      </c>
      <c r="C472" s="6" t="inlineStr">
        <is>
          <t>华南</t>
        </is>
      </c>
      <c r="D472" s="6" t="inlineStr">
        <is>
          <t>张伟</t>
        </is>
      </c>
      <c r="E472" s="6" t="inlineStr">
        <is>
          <t>劲爆运动用品</t>
        </is>
      </c>
      <c r="F472" s="7" t="n">
        <v>56800</v>
      </c>
      <c r="G472" s="7" t="n">
        <v>42400</v>
      </c>
      <c r="H472" s="7" t="n">
        <v>14400</v>
      </c>
      <c r="I472" s="8" t="n">
        <v>0.2535211267605634</v>
      </c>
    </row>
    <row r="473">
      <c r="A473" s="6" t="inlineStr">
        <is>
          <t>2025-05</t>
        </is>
      </c>
      <c r="B473" s="6" t="inlineStr">
        <is>
          <t>营养补给</t>
        </is>
      </c>
      <c r="C473" s="6" t="inlineStr">
        <is>
          <t>华南</t>
        </is>
      </c>
      <c r="D473" s="6" t="inlineStr">
        <is>
          <t>李娜</t>
        </is>
      </c>
      <c r="E473" s="6" t="inlineStr">
        <is>
          <t>恒康营养</t>
        </is>
      </c>
      <c r="F473" s="7" t="n">
        <v>53000</v>
      </c>
      <c r="G473" s="7" t="n">
        <v>40200</v>
      </c>
      <c r="H473" s="7" t="n">
        <v>12800</v>
      </c>
      <c r="I473" s="8" t="n">
        <v>0.2415094339622642</v>
      </c>
    </row>
    <row r="474">
      <c r="A474" s="6" t="inlineStr">
        <is>
          <t>2025-05</t>
        </is>
      </c>
      <c r="B474" s="6" t="inlineStr">
        <is>
          <t>营养补给</t>
        </is>
      </c>
      <c r="C474" s="6" t="inlineStr">
        <is>
          <t>华南</t>
        </is>
      </c>
      <c r="D474" s="6" t="inlineStr">
        <is>
          <t>王芳</t>
        </is>
      </c>
      <c r="E474" s="6" t="inlineStr">
        <is>
          <t>启航健身中心</t>
        </is>
      </c>
      <c r="F474" s="7" t="n">
        <v>51800</v>
      </c>
      <c r="G474" s="7" t="n">
        <v>39400</v>
      </c>
      <c r="H474" s="7" t="n">
        <v>12400</v>
      </c>
      <c r="I474" s="8" t="n">
        <v>0.2393822393822394</v>
      </c>
    </row>
    <row r="475">
      <c r="A475" s="6" t="inlineStr">
        <is>
          <t>2025-05</t>
        </is>
      </c>
      <c r="B475" s="6" t="inlineStr">
        <is>
          <t>营养补给</t>
        </is>
      </c>
      <c r="C475" s="6" t="inlineStr">
        <is>
          <t>华南</t>
        </is>
      </c>
      <c r="D475" s="6" t="inlineStr">
        <is>
          <t>刘强</t>
        </is>
      </c>
      <c r="E475" s="6" t="inlineStr">
        <is>
          <t>智练体育</t>
        </is>
      </c>
      <c r="F475" s="7" t="n">
        <v>55000</v>
      </c>
      <c r="G475" s="7" t="n">
        <v>39700</v>
      </c>
      <c r="H475" s="7" t="n">
        <v>15300</v>
      </c>
      <c r="I475" s="8" t="n">
        <v>0.2781818181818182</v>
      </c>
    </row>
    <row r="476">
      <c r="A476" s="6" t="inlineStr">
        <is>
          <t>2025-05</t>
        </is>
      </c>
      <c r="B476" s="6" t="inlineStr">
        <is>
          <t>营养补给</t>
        </is>
      </c>
      <c r="C476" s="6" t="inlineStr">
        <is>
          <t>华南</t>
        </is>
      </c>
      <c r="D476" s="6" t="inlineStr">
        <is>
          <t>陈静</t>
        </is>
      </c>
      <c r="E476" s="6" t="inlineStr">
        <is>
          <t>飞跃训练营</t>
        </is>
      </c>
      <c r="F476" s="7" t="n">
        <v>57300</v>
      </c>
      <c r="G476" s="7" t="n">
        <v>42500</v>
      </c>
      <c r="H476" s="7" t="n">
        <v>14800</v>
      </c>
      <c r="I476" s="8" t="n">
        <v>0.2582897033158813</v>
      </c>
    </row>
    <row r="477">
      <c r="A477" s="6" t="inlineStr">
        <is>
          <t>2025-05</t>
        </is>
      </c>
      <c r="B477" s="6" t="inlineStr">
        <is>
          <t>营养补给</t>
        </is>
      </c>
      <c r="C477" s="6" t="inlineStr">
        <is>
          <t>西部</t>
        </is>
      </c>
      <c r="D477" s="6" t="inlineStr">
        <is>
          <t>张伟</t>
        </is>
      </c>
      <c r="E477" s="6" t="inlineStr">
        <is>
          <t>跃动少儿运动馆</t>
        </is>
      </c>
      <c r="F477" s="7" t="n">
        <v>37500</v>
      </c>
      <c r="G477" s="7" t="n">
        <v>27600</v>
      </c>
      <c r="H477" s="7" t="n">
        <v>9900</v>
      </c>
      <c r="I477" s="8" t="n">
        <v>0.264</v>
      </c>
    </row>
    <row r="478">
      <c r="A478" s="6" t="inlineStr">
        <is>
          <t>2025-05</t>
        </is>
      </c>
      <c r="B478" s="6" t="inlineStr">
        <is>
          <t>营养补给</t>
        </is>
      </c>
      <c r="C478" s="6" t="inlineStr">
        <is>
          <t>西部</t>
        </is>
      </c>
      <c r="D478" s="6" t="inlineStr">
        <is>
          <t>李娜</t>
        </is>
      </c>
      <c r="E478" s="6" t="inlineStr">
        <is>
          <t>小飞侠运动俱乐部</t>
        </is>
      </c>
      <c r="F478" s="7" t="n">
        <v>32800</v>
      </c>
      <c r="G478" s="7" t="n">
        <v>24000</v>
      </c>
      <c r="H478" s="7" t="n">
        <v>8800</v>
      </c>
      <c r="I478" s="8" t="n">
        <v>0.2682926829268293</v>
      </c>
    </row>
    <row r="479">
      <c r="A479" s="6" t="inlineStr">
        <is>
          <t>2025-05</t>
        </is>
      </c>
      <c r="B479" s="6" t="inlineStr">
        <is>
          <t>营养补给</t>
        </is>
      </c>
      <c r="C479" s="6" t="inlineStr">
        <is>
          <t>西部</t>
        </is>
      </c>
      <c r="D479" s="6" t="inlineStr">
        <is>
          <t>王芳</t>
        </is>
      </c>
      <c r="E479" s="6" t="inlineStr">
        <is>
          <t>迈步体育</t>
        </is>
      </c>
      <c r="F479" s="7" t="n">
        <v>41000</v>
      </c>
      <c r="G479" s="7" t="n">
        <v>29800</v>
      </c>
      <c r="H479" s="7" t="n">
        <v>11200</v>
      </c>
      <c r="I479" s="8" t="n">
        <v>0.2731707317073171</v>
      </c>
    </row>
    <row r="480">
      <c r="A480" s="6" t="inlineStr">
        <is>
          <t>2025-05</t>
        </is>
      </c>
      <c r="B480" s="6" t="inlineStr">
        <is>
          <t>营养补给</t>
        </is>
      </c>
      <c r="C480" s="6" t="inlineStr">
        <is>
          <t>西部</t>
        </is>
      </c>
      <c r="D480" s="6" t="inlineStr">
        <is>
          <t>刘强</t>
        </is>
      </c>
      <c r="E480" s="6" t="inlineStr">
        <is>
          <t>智练体育</t>
        </is>
      </c>
      <c r="F480" s="7" t="n">
        <v>36300</v>
      </c>
      <c r="G480" s="7" t="n">
        <v>26300</v>
      </c>
      <c r="H480" s="7" t="n">
        <v>10000</v>
      </c>
      <c r="I480" s="8" t="n">
        <v>0.2754820936639119</v>
      </c>
    </row>
    <row r="481">
      <c r="A481" s="6" t="inlineStr">
        <is>
          <t>2025-05</t>
        </is>
      </c>
      <c r="B481" s="6" t="inlineStr">
        <is>
          <t>营养补给</t>
        </is>
      </c>
      <c r="C481" s="6" t="inlineStr">
        <is>
          <t>西部</t>
        </is>
      </c>
      <c r="D481" s="6" t="inlineStr">
        <is>
          <t>陈静</t>
        </is>
      </c>
      <c r="E481" s="6" t="inlineStr">
        <is>
          <t>巅峰运动</t>
        </is>
      </c>
      <c r="F481" s="7" t="n">
        <v>38500</v>
      </c>
      <c r="G481" s="7" t="n">
        <v>28400</v>
      </c>
      <c r="H481" s="7" t="n">
        <v>10100</v>
      </c>
      <c r="I481" s="8" t="n">
        <v>0.2623376623376623</v>
      </c>
    </row>
    <row r="482">
      <c r="A482" s="6" t="inlineStr">
        <is>
          <t>2025-05</t>
        </is>
      </c>
      <c r="B482" s="6" t="inlineStr">
        <is>
          <t>智能穿戴</t>
        </is>
      </c>
      <c r="C482" s="6" t="inlineStr">
        <is>
          <t>华东</t>
        </is>
      </c>
      <c r="D482" s="6" t="inlineStr">
        <is>
          <t>张伟</t>
        </is>
      </c>
      <c r="E482" s="6" t="inlineStr">
        <is>
          <t>星跃体育</t>
        </is>
      </c>
      <c r="F482" s="7" t="n">
        <v>89300</v>
      </c>
      <c r="G482" s="7" t="n">
        <v>55300</v>
      </c>
      <c r="H482" s="7" t="n">
        <v>34000</v>
      </c>
      <c r="I482" s="8" t="n">
        <v>0.3807390817469205</v>
      </c>
    </row>
    <row r="483">
      <c r="A483" s="6" t="inlineStr">
        <is>
          <t>2025-05</t>
        </is>
      </c>
      <c r="B483" s="6" t="inlineStr">
        <is>
          <t>智能穿戴</t>
        </is>
      </c>
      <c r="C483" s="6" t="inlineStr">
        <is>
          <t>华东</t>
        </is>
      </c>
      <c r="D483" s="6" t="inlineStr">
        <is>
          <t>李娜</t>
        </is>
      </c>
      <c r="E483" s="6" t="inlineStr">
        <is>
          <t>冠军之路俱乐部</t>
        </is>
      </c>
      <c r="F483" s="7" t="n">
        <v>96900</v>
      </c>
      <c r="G483" s="7" t="n">
        <v>57800</v>
      </c>
      <c r="H483" s="7" t="n">
        <v>39100</v>
      </c>
      <c r="I483" s="8" t="n">
        <v>0.4035087719298245</v>
      </c>
    </row>
    <row r="484">
      <c r="A484" s="6" t="inlineStr">
        <is>
          <t>2025-05</t>
        </is>
      </c>
      <c r="B484" s="6" t="inlineStr">
        <is>
          <t>智能穿戴</t>
        </is>
      </c>
      <c r="C484" s="6" t="inlineStr">
        <is>
          <t>华东</t>
        </is>
      </c>
      <c r="D484" s="6" t="inlineStr">
        <is>
          <t>王芳</t>
        </is>
      </c>
      <c r="E484" s="6" t="inlineStr">
        <is>
          <t>纵横运动</t>
        </is>
      </c>
      <c r="F484" s="7" t="n">
        <v>105900</v>
      </c>
      <c r="G484" s="7" t="n">
        <v>63800</v>
      </c>
      <c r="H484" s="7" t="n">
        <v>42100</v>
      </c>
      <c r="I484" s="8" t="n">
        <v>0.3975448536355052</v>
      </c>
    </row>
    <row r="485">
      <c r="A485" s="6" t="inlineStr">
        <is>
          <t>2025-05</t>
        </is>
      </c>
      <c r="B485" s="6" t="inlineStr">
        <is>
          <t>智能穿戴</t>
        </is>
      </c>
      <c r="C485" s="6" t="inlineStr">
        <is>
          <t>华东</t>
        </is>
      </c>
      <c r="D485" s="6" t="inlineStr">
        <is>
          <t>刘强</t>
        </is>
      </c>
      <c r="E485" s="6" t="inlineStr">
        <is>
          <t>童行运动馆</t>
        </is>
      </c>
      <c r="F485" s="7" t="n">
        <v>99600</v>
      </c>
      <c r="G485" s="7" t="n">
        <v>62400</v>
      </c>
      <c r="H485" s="7" t="n">
        <v>37200</v>
      </c>
      <c r="I485" s="8" t="n">
        <v>0.3734939759036144</v>
      </c>
    </row>
    <row r="486">
      <c r="A486" s="6" t="inlineStr">
        <is>
          <t>2025-05</t>
        </is>
      </c>
      <c r="B486" s="6" t="inlineStr">
        <is>
          <t>智能穿戴</t>
        </is>
      </c>
      <c r="C486" s="6" t="inlineStr">
        <is>
          <t>华东</t>
        </is>
      </c>
      <c r="D486" s="6" t="inlineStr">
        <is>
          <t>陈静</t>
        </is>
      </c>
      <c r="E486" s="6" t="inlineStr">
        <is>
          <t>锐健身工作室</t>
        </is>
      </c>
      <c r="F486" s="7" t="n">
        <v>93100</v>
      </c>
      <c r="G486" s="7" t="n">
        <v>57100</v>
      </c>
      <c r="H486" s="7" t="n">
        <v>36000</v>
      </c>
      <c r="I486" s="8" t="n">
        <v>0.3866809881847476</v>
      </c>
    </row>
    <row r="487">
      <c r="A487" s="6" t="inlineStr">
        <is>
          <t>2025-05</t>
        </is>
      </c>
      <c r="B487" s="6" t="inlineStr">
        <is>
          <t>智能穿戴</t>
        </is>
      </c>
      <c r="C487" s="6" t="inlineStr">
        <is>
          <t>华北</t>
        </is>
      </c>
      <c r="D487" s="6" t="inlineStr">
        <is>
          <t>张伟</t>
        </is>
      </c>
      <c r="E487" s="6" t="inlineStr">
        <is>
          <t>迈步体育</t>
        </is>
      </c>
      <c r="F487" s="7" t="n">
        <v>75300</v>
      </c>
      <c r="G487" s="7" t="n">
        <v>48900</v>
      </c>
      <c r="H487" s="7" t="n">
        <v>26400</v>
      </c>
      <c r="I487" s="8" t="n">
        <v>0.350597609561753</v>
      </c>
    </row>
    <row r="488">
      <c r="A488" s="6" t="inlineStr">
        <is>
          <t>2025-05</t>
        </is>
      </c>
      <c r="B488" s="6" t="inlineStr">
        <is>
          <t>智能穿戴</t>
        </is>
      </c>
      <c r="C488" s="6" t="inlineStr">
        <is>
          <t>华北</t>
        </is>
      </c>
      <c r="D488" s="6" t="inlineStr">
        <is>
          <t>李娜</t>
        </is>
      </c>
      <c r="E488" s="6" t="inlineStr">
        <is>
          <t>迈步体育</t>
        </is>
      </c>
      <c r="F488" s="7" t="n">
        <v>79300</v>
      </c>
      <c r="G488" s="7" t="n">
        <v>48900</v>
      </c>
      <c r="H488" s="7" t="n">
        <v>30400</v>
      </c>
      <c r="I488" s="8" t="n">
        <v>0.3833543505674653</v>
      </c>
    </row>
    <row r="489">
      <c r="A489" s="6" t="inlineStr">
        <is>
          <t>2025-05</t>
        </is>
      </c>
      <c r="B489" s="6" t="inlineStr">
        <is>
          <t>智能穿戴</t>
        </is>
      </c>
      <c r="C489" s="6" t="inlineStr">
        <is>
          <t>华北</t>
        </is>
      </c>
      <c r="D489" s="6" t="inlineStr">
        <is>
          <t>王芳</t>
        </is>
      </c>
      <c r="E489" s="6" t="inlineStr">
        <is>
          <t>风尚健身</t>
        </is>
      </c>
      <c r="F489" s="7" t="n">
        <v>69800</v>
      </c>
      <c r="G489" s="7" t="n">
        <v>43500</v>
      </c>
      <c r="H489" s="7" t="n">
        <v>26300</v>
      </c>
      <c r="I489" s="8" t="n">
        <v>0.3767908309455588</v>
      </c>
    </row>
    <row r="490">
      <c r="A490" s="6" t="inlineStr">
        <is>
          <t>2025-05</t>
        </is>
      </c>
      <c r="B490" s="6" t="inlineStr">
        <is>
          <t>智能穿戴</t>
        </is>
      </c>
      <c r="C490" s="6" t="inlineStr">
        <is>
          <t>华北</t>
        </is>
      </c>
      <c r="D490" s="6" t="inlineStr">
        <is>
          <t>刘强</t>
        </is>
      </c>
      <c r="E490" s="6" t="inlineStr">
        <is>
          <t>启航健身中心</t>
        </is>
      </c>
      <c r="F490" s="7" t="n">
        <v>73200</v>
      </c>
      <c r="G490" s="7" t="n">
        <v>47200</v>
      </c>
      <c r="H490" s="7" t="n">
        <v>26000</v>
      </c>
      <c r="I490" s="8" t="n">
        <v>0.3551912568306011</v>
      </c>
    </row>
    <row r="491">
      <c r="A491" s="6" t="inlineStr">
        <is>
          <t>2025-05</t>
        </is>
      </c>
      <c r="B491" s="6" t="inlineStr">
        <is>
          <t>智能穿戴</t>
        </is>
      </c>
      <c r="C491" s="6" t="inlineStr">
        <is>
          <t>华北</t>
        </is>
      </c>
      <c r="D491" s="6" t="inlineStr">
        <is>
          <t>陈静</t>
        </is>
      </c>
      <c r="E491" s="6" t="inlineStr">
        <is>
          <t>锋行体育</t>
        </is>
      </c>
      <c r="F491" s="7" t="n">
        <v>78100</v>
      </c>
      <c r="G491" s="7" t="n">
        <v>49700</v>
      </c>
      <c r="H491" s="7" t="n">
        <v>28400</v>
      </c>
      <c r="I491" s="8" t="n">
        <v>0.3636363636363636</v>
      </c>
    </row>
    <row r="492">
      <c r="A492" s="6" t="inlineStr">
        <is>
          <t>2025-05</t>
        </is>
      </c>
      <c r="B492" s="6" t="inlineStr">
        <is>
          <t>智能穿戴</t>
        </is>
      </c>
      <c r="C492" s="6" t="inlineStr">
        <is>
          <t>华南</t>
        </is>
      </c>
      <c r="D492" s="6" t="inlineStr">
        <is>
          <t>张伟</t>
        </is>
      </c>
      <c r="E492" s="6" t="inlineStr">
        <is>
          <t>启航健身中心</t>
        </is>
      </c>
      <c r="F492" s="7" t="n">
        <v>74400</v>
      </c>
      <c r="G492" s="7" t="n">
        <v>44600</v>
      </c>
      <c r="H492" s="7" t="n">
        <v>29800</v>
      </c>
      <c r="I492" s="8" t="n">
        <v>0.4005376344086021</v>
      </c>
    </row>
    <row r="493">
      <c r="A493" s="6" t="inlineStr">
        <is>
          <t>2025-05</t>
        </is>
      </c>
      <c r="B493" s="6" t="inlineStr">
        <is>
          <t>智能穿戴</t>
        </is>
      </c>
      <c r="C493" s="6" t="inlineStr">
        <is>
          <t>华南</t>
        </is>
      </c>
      <c r="D493" s="6" t="inlineStr">
        <is>
          <t>李娜</t>
        </is>
      </c>
      <c r="E493" s="6" t="inlineStr">
        <is>
          <t>小飞侠运动俱乐部</t>
        </is>
      </c>
      <c r="F493" s="7" t="n">
        <v>86700</v>
      </c>
      <c r="G493" s="7" t="n">
        <v>52900</v>
      </c>
      <c r="H493" s="7" t="n">
        <v>33800</v>
      </c>
      <c r="I493" s="8" t="n">
        <v>0.3898500576701269</v>
      </c>
    </row>
    <row r="494">
      <c r="A494" s="6" t="inlineStr">
        <is>
          <t>2025-05</t>
        </is>
      </c>
      <c r="B494" s="6" t="inlineStr">
        <is>
          <t>智能穿戴</t>
        </is>
      </c>
      <c r="C494" s="6" t="inlineStr">
        <is>
          <t>华南</t>
        </is>
      </c>
      <c r="D494" s="6" t="inlineStr">
        <is>
          <t>王芳</t>
        </is>
      </c>
      <c r="E494" s="6" t="inlineStr">
        <is>
          <t>腾飞体育用品</t>
        </is>
      </c>
      <c r="F494" s="7" t="n">
        <v>75900</v>
      </c>
      <c r="G494" s="7" t="n">
        <v>45000</v>
      </c>
      <c r="H494" s="7" t="n">
        <v>30900</v>
      </c>
      <c r="I494" s="8" t="n">
        <v>0.4071146245059288</v>
      </c>
    </row>
    <row r="495">
      <c r="A495" s="6" t="inlineStr">
        <is>
          <t>2025-05</t>
        </is>
      </c>
      <c r="B495" s="6" t="inlineStr">
        <is>
          <t>智能穿戴</t>
        </is>
      </c>
      <c r="C495" s="6" t="inlineStr">
        <is>
          <t>华南</t>
        </is>
      </c>
      <c r="D495" s="6" t="inlineStr">
        <is>
          <t>刘强</t>
        </is>
      </c>
      <c r="E495" s="6" t="inlineStr">
        <is>
          <t>童行运动馆</t>
        </is>
      </c>
      <c r="F495" s="7" t="n">
        <v>66000</v>
      </c>
      <c r="G495" s="7" t="n">
        <v>42700</v>
      </c>
      <c r="H495" s="7" t="n">
        <v>23300</v>
      </c>
      <c r="I495" s="8" t="n">
        <v>0.353030303030303</v>
      </c>
    </row>
    <row r="496">
      <c r="A496" s="6" t="inlineStr">
        <is>
          <t>2025-05</t>
        </is>
      </c>
      <c r="B496" s="6" t="inlineStr">
        <is>
          <t>智能穿戴</t>
        </is>
      </c>
      <c r="C496" s="6" t="inlineStr">
        <is>
          <t>华南</t>
        </is>
      </c>
      <c r="D496" s="6" t="inlineStr">
        <is>
          <t>陈静</t>
        </is>
      </c>
      <c r="E496" s="6" t="inlineStr">
        <is>
          <t>巅峰运动</t>
        </is>
      </c>
      <c r="F496" s="7" t="n">
        <v>70200</v>
      </c>
      <c r="G496" s="7" t="n">
        <v>42600</v>
      </c>
      <c r="H496" s="7" t="n">
        <v>27600</v>
      </c>
      <c r="I496" s="8" t="n">
        <v>0.3931623931623932</v>
      </c>
    </row>
    <row r="497">
      <c r="A497" s="6" t="inlineStr">
        <is>
          <t>2025-05</t>
        </is>
      </c>
      <c r="B497" s="6" t="inlineStr">
        <is>
          <t>智能穿戴</t>
        </is>
      </c>
      <c r="C497" s="6" t="inlineStr">
        <is>
          <t>西部</t>
        </is>
      </c>
      <c r="D497" s="6" t="inlineStr">
        <is>
          <t>张伟</t>
        </is>
      </c>
      <c r="E497" s="6" t="inlineStr">
        <is>
          <t>活力无限健身</t>
        </is>
      </c>
      <c r="F497" s="7" t="n">
        <v>55900</v>
      </c>
      <c r="G497" s="7" t="n">
        <v>35700</v>
      </c>
      <c r="H497" s="7" t="n">
        <v>20200</v>
      </c>
      <c r="I497" s="8" t="n">
        <v>0.3613595706618962</v>
      </c>
    </row>
    <row r="498">
      <c r="A498" s="6" t="inlineStr">
        <is>
          <t>2025-05</t>
        </is>
      </c>
      <c r="B498" s="6" t="inlineStr">
        <is>
          <t>智能穿戴</t>
        </is>
      </c>
      <c r="C498" s="6" t="inlineStr">
        <is>
          <t>西部</t>
        </is>
      </c>
      <c r="D498" s="6" t="inlineStr">
        <is>
          <t>李娜</t>
        </is>
      </c>
      <c r="E498" s="6" t="inlineStr">
        <is>
          <t>环宇体育</t>
        </is>
      </c>
      <c r="F498" s="7" t="n">
        <v>48800</v>
      </c>
      <c r="G498" s="7" t="n">
        <v>30200</v>
      </c>
      <c r="H498" s="7" t="n">
        <v>18600</v>
      </c>
      <c r="I498" s="8" t="n">
        <v>0.3811475409836065</v>
      </c>
    </row>
    <row r="499">
      <c r="A499" s="6" t="inlineStr">
        <is>
          <t>2025-05</t>
        </is>
      </c>
      <c r="B499" s="6" t="inlineStr">
        <is>
          <t>智能穿戴</t>
        </is>
      </c>
      <c r="C499" s="6" t="inlineStr">
        <is>
          <t>西部</t>
        </is>
      </c>
      <c r="D499" s="6" t="inlineStr">
        <is>
          <t>王芳</t>
        </is>
      </c>
      <c r="E499" s="6" t="inlineStr">
        <is>
          <t>纵横运动</t>
        </is>
      </c>
      <c r="F499" s="7" t="n">
        <v>46300</v>
      </c>
      <c r="G499" s="7" t="n">
        <v>28600</v>
      </c>
      <c r="H499" s="7" t="n">
        <v>17700</v>
      </c>
      <c r="I499" s="8" t="n">
        <v>0.3822894168466522</v>
      </c>
    </row>
    <row r="500">
      <c r="A500" s="6" t="inlineStr">
        <is>
          <t>2025-05</t>
        </is>
      </c>
      <c r="B500" s="6" t="inlineStr">
        <is>
          <t>智能穿戴</t>
        </is>
      </c>
      <c r="C500" s="6" t="inlineStr">
        <is>
          <t>西部</t>
        </is>
      </c>
      <c r="D500" s="6" t="inlineStr">
        <is>
          <t>刘强</t>
        </is>
      </c>
      <c r="E500" s="6" t="inlineStr">
        <is>
          <t>锋行体育</t>
        </is>
      </c>
      <c r="F500" s="7" t="n">
        <v>41000</v>
      </c>
      <c r="G500" s="7" t="n">
        <v>24300</v>
      </c>
      <c r="H500" s="7" t="n">
        <v>16700</v>
      </c>
      <c r="I500" s="8" t="n">
        <v>0.4073170731707317</v>
      </c>
    </row>
    <row r="501">
      <c r="A501" s="6" t="inlineStr">
        <is>
          <t>2025-05</t>
        </is>
      </c>
      <c r="B501" s="6" t="inlineStr">
        <is>
          <t>智能穿戴</t>
        </is>
      </c>
      <c r="C501" s="6" t="inlineStr">
        <is>
          <t>西部</t>
        </is>
      </c>
      <c r="D501" s="6" t="inlineStr">
        <is>
          <t>陈静</t>
        </is>
      </c>
      <c r="E501" s="6" t="inlineStr">
        <is>
          <t>跃动少儿运动馆</t>
        </is>
      </c>
      <c r="F501" s="7" t="n">
        <v>54400</v>
      </c>
      <c r="G501" s="7" t="n">
        <v>35000</v>
      </c>
      <c r="H501" s="7" t="n">
        <v>19400</v>
      </c>
      <c r="I501" s="8" t="n">
        <v>0.3566176470588235</v>
      </c>
    </row>
    <row r="502">
      <c r="A502" s="6" t="inlineStr">
        <is>
          <t>2025-06</t>
        </is>
      </c>
      <c r="B502" s="6" t="inlineStr">
        <is>
          <t>篮球装备</t>
        </is>
      </c>
      <c r="C502" s="6" t="inlineStr">
        <is>
          <t>华东</t>
        </is>
      </c>
      <c r="D502" s="6" t="inlineStr">
        <is>
          <t>张伟</t>
        </is>
      </c>
      <c r="E502" s="6" t="inlineStr">
        <is>
          <t>乐动体育</t>
        </is>
      </c>
      <c r="F502" s="7" t="n">
        <v>142400</v>
      </c>
      <c r="G502" s="7" t="n">
        <v>96200</v>
      </c>
      <c r="H502" s="7" t="n">
        <v>46200</v>
      </c>
      <c r="I502" s="8" t="n">
        <v>0.324438202247191</v>
      </c>
    </row>
    <row r="503">
      <c r="A503" s="6" t="inlineStr">
        <is>
          <t>2025-06</t>
        </is>
      </c>
      <c r="B503" s="6" t="inlineStr">
        <is>
          <t>篮球装备</t>
        </is>
      </c>
      <c r="C503" s="6" t="inlineStr">
        <is>
          <t>华东</t>
        </is>
      </c>
      <c r="D503" s="6" t="inlineStr">
        <is>
          <t>李娜</t>
        </is>
      </c>
      <c r="E503" s="6" t="inlineStr">
        <is>
          <t>风尚健身</t>
        </is>
      </c>
      <c r="F503" s="7" t="n">
        <v>125700</v>
      </c>
      <c r="G503" s="7" t="n">
        <v>80300</v>
      </c>
      <c r="H503" s="7" t="n">
        <v>45400</v>
      </c>
      <c r="I503" s="8" t="n">
        <v>0.3611774065234686</v>
      </c>
    </row>
    <row r="504">
      <c r="A504" s="6" t="inlineStr">
        <is>
          <t>2025-06</t>
        </is>
      </c>
      <c r="B504" s="6" t="inlineStr">
        <is>
          <t>篮球装备</t>
        </is>
      </c>
      <c r="C504" s="6" t="inlineStr">
        <is>
          <t>华东</t>
        </is>
      </c>
      <c r="D504" s="6" t="inlineStr">
        <is>
          <t>王芳</t>
        </is>
      </c>
      <c r="E504" s="6" t="inlineStr">
        <is>
          <t>乐动体育</t>
        </is>
      </c>
      <c r="F504" s="7" t="n">
        <v>140200</v>
      </c>
      <c r="G504" s="7" t="n">
        <v>89600</v>
      </c>
      <c r="H504" s="7" t="n">
        <v>50600</v>
      </c>
      <c r="I504" s="8" t="n">
        <v>0.3609129814550642</v>
      </c>
    </row>
    <row r="505">
      <c r="A505" s="6" t="inlineStr">
        <is>
          <t>2025-06</t>
        </is>
      </c>
      <c r="B505" s="6" t="inlineStr">
        <is>
          <t>篮球装备</t>
        </is>
      </c>
      <c r="C505" s="6" t="inlineStr">
        <is>
          <t>华东</t>
        </is>
      </c>
      <c r="D505" s="6" t="inlineStr">
        <is>
          <t>刘强</t>
        </is>
      </c>
      <c r="E505" s="6" t="inlineStr">
        <is>
          <t>超能体育</t>
        </is>
      </c>
      <c r="F505" s="7" t="n">
        <v>132000</v>
      </c>
      <c r="G505" s="7" t="n">
        <v>83800</v>
      </c>
      <c r="H505" s="7" t="n">
        <v>48200</v>
      </c>
      <c r="I505" s="8" t="n">
        <v>0.3651515151515152</v>
      </c>
    </row>
    <row r="506">
      <c r="A506" s="6" t="inlineStr">
        <is>
          <t>2025-06</t>
        </is>
      </c>
      <c r="B506" s="6" t="inlineStr">
        <is>
          <t>篮球装备</t>
        </is>
      </c>
      <c r="C506" s="6" t="inlineStr">
        <is>
          <t>华东</t>
        </is>
      </c>
      <c r="D506" s="6" t="inlineStr">
        <is>
          <t>陈静</t>
        </is>
      </c>
      <c r="E506" s="6" t="inlineStr">
        <is>
          <t>启航健身中心</t>
        </is>
      </c>
      <c r="F506" s="7" t="n">
        <v>122700</v>
      </c>
      <c r="G506" s="7" t="n">
        <v>83100</v>
      </c>
      <c r="H506" s="7" t="n">
        <v>39600</v>
      </c>
      <c r="I506" s="8" t="n">
        <v>0.3227383863080684</v>
      </c>
    </row>
    <row r="507">
      <c r="A507" s="6" t="inlineStr">
        <is>
          <t>2025-06</t>
        </is>
      </c>
      <c r="B507" s="6" t="inlineStr">
        <is>
          <t>篮球装备</t>
        </is>
      </c>
      <c r="C507" s="6" t="inlineStr">
        <is>
          <t>华北</t>
        </is>
      </c>
      <c r="D507" s="6" t="inlineStr">
        <is>
          <t>张伟</t>
        </is>
      </c>
      <c r="E507" s="6" t="inlineStr">
        <is>
          <t>优加体能中心</t>
        </is>
      </c>
      <c r="F507" s="7" t="n">
        <v>86800</v>
      </c>
      <c r="G507" s="7" t="n">
        <v>54500</v>
      </c>
      <c r="H507" s="7" t="n">
        <v>32300</v>
      </c>
      <c r="I507" s="8" t="n">
        <v>0.3721198156682028</v>
      </c>
    </row>
    <row r="508">
      <c r="A508" s="6" t="inlineStr">
        <is>
          <t>2025-06</t>
        </is>
      </c>
      <c r="B508" s="6" t="inlineStr">
        <is>
          <t>篮球装备</t>
        </is>
      </c>
      <c r="C508" s="6" t="inlineStr">
        <is>
          <t>华北</t>
        </is>
      </c>
      <c r="D508" s="6" t="inlineStr">
        <is>
          <t>李娜</t>
        </is>
      </c>
      <c r="E508" s="6" t="inlineStr">
        <is>
          <t>茁长少儿体适能</t>
        </is>
      </c>
      <c r="F508" s="7" t="n">
        <v>103100</v>
      </c>
      <c r="G508" s="7" t="n">
        <v>69800</v>
      </c>
      <c r="H508" s="7" t="n">
        <v>33300</v>
      </c>
      <c r="I508" s="8" t="n">
        <v>0.3229873908826382</v>
      </c>
    </row>
    <row r="509">
      <c r="A509" s="6" t="inlineStr">
        <is>
          <t>2025-06</t>
        </is>
      </c>
      <c r="B509" s="6" t="inlineStr">
        <is>
          <t>篮球装备</t>
        </is>
      </c>
      <c r="C509" s="6" t="inlineStr">
        <is>
          <t>华北</t>
        </is>
      </c>
      <c r="D509" s="6" t="inlineStr">
        <is>
          <t>王芳</t>
        </is>
      </c>
      <c r="E509" s="6" t="inlineStr">
        <is>
          <t>强体体育</t>
        </is>
      </c>
      <c r="F509" s="7" t="n">
        <v>98000</v>
      </c>
      <c r="G509" s="7" t="n">
        <v>62700</v>
      </c>
      <c r="H509" s="7" t="n">
        <v>35300</v>
      </c>
      <c r="I509" s="8" t="n">
        <v>0.3602040816326531</v>
      </c>
    </row>
    <row r="510">
      <c r="A510" s="6" t="inlineStr">
        <is>
          <t>2025-06</t>
        </is>
      </c>
      <c r="B510" s="6" t="inlineStr">
        <is>
          <t>篮球装备</t>
        </is>
      </c>
      <c r="C510" s="6" t="inlineStr">
        <is>
          <t>华北</t>
        </is>
      </c>
      <c r="D510" s="6" t="inlineStr">
        <is>
          <t>刘强</t>
        </is>
      </c>
      <c r="E510" s="6" t="inlineStr">
        <is>
          <t>元气营养</t>
        </is>
      </c>
      <c r="F510" s="7" t="n">
        <v>104300</v>
      </c>
      <c r="G510" s="7" t="n">
        <v>70400</v>
      </c>
      <c r="H510" s="7" t="n">
        <v>33900</v>
      </c>
      <c r="I510" s="8" t="n">
        <v>0.3250239693192714</v>
      </c>
    </row>
    <row r="511">
      <c r="A511" s="6" t="inlineStr">
        <is>
          <t>2025-06</t>
        </is>
      </c>
      <c r="B511" s="6" t="inlineStr">
        <is>
          <t>篮球装备</t>
        </is>
      </c>
      <c r="C511" s="6" t="inlineStr">
        <is>
          <t>华北</t>
        </is>
      </c>
      <c r="D511" s="6" t="inlineStr">
        <is>
          <t>陈静</t>
        </is>
      </c>
      <c r="E511" s="6" t="inlineStr">
        <is>
          <t>成长树运动馆</t>
        </is>
      </c>
      <c r="F511" s="7" t="n">
        <v>100500</v>
      </c>
      <c r="G511" s="7" t="n">
        <v>65300</v>
      </c>
      <c r="H511" s="7" t="n">
        <v>35200</v>
      </c>
      <c r="I511" s="8" t="n">
        <v>0.3502487562189055</v>
      </c>
    </row>
    <row r="512">
      <c r="A512" s="6" t="inlineStr">
        <is>
          <t>2025-06</t>
        </is>
      </c>
      <c r="B512" s="6" t="inlineStr">
        <is>
          <t>篮球装备</t>
        </is>
      </c>
      <c r="C512" s="6" t="inlineStr">
        <is>
          <t>华南</t>
        </is>
      </c>
      <c r="D512" s="6" t="inlineStr">
        <is>
          <t>张伟</t>
        </is>
      </c>
      <c r="E512" s="6" t="inlineStr">
        <is>
          <t>纵横运动</t>
        </is>
      </c>
      <c r="F512" s="7" t="n">
        <v>101600</v>
      </c>
      <c r="G512" s="7" t="n">
        <v>64900</v>
      </c>
      <c r="H512" s="7" t="n">
        <v>36700</v>
      </c>
      <c r="I512" s="8" t="n">
        <v>0.3612204724409449</v>
      </c>
    </row>
    <row r="513">
      <c r="A513" s="6" t="inlineStr">
        <is>
          <t>2025-06</t>
        </is>
      </c>
      <c r="B513" s="6" t="inlineStr">
        <is>
          <t>篮球装备</t>
        </is>
      </c>
      <c r="C513" s="6" t="inlineStr">
        <is>
          <t>华南</t>
        </is>
      </c>
      <c r="D513" s="6" t="inlineStr">
        <is>
          <t>李娜</t>
        </is>
      </c>
      <c r="E513" s="6" t="inlineStr">
        <is>
          <t>启航健身中心</t>
        </is>
      </c>
      <c r="F513" s="7" t="n">
        <v>97700</v>
      </c>
      <c r="G513" s="7" t="n">
        <v>60900</v>
      </c>
      <c r="H513" s="7" t="n">
        <v>36800</v>
      </c>
      <c r="I513" s="8" t="n">
        <v>0.3766632548618219</v>
      </c>
    </row>
    <row r="514">
      <c r="A514" s="6" t="inlineStr">
        <is>
          <t>2025-06</t>
        </is>
      </c>
      <c r="B514" s="6" t="inlineStr">
        <is>
          <t>篮球装备</t>
        </is>
      </c>
      <c r="C514" s="6" t="inlineStr">
        <is>
          <t>华南</t>
        </is>
      </c>
      <c r="D514" s="6" t="inlineStr">
        <is>
          <t>王芳</t>
        </is>
      </c>
      <c r="E514" s="6" t="inlineStr">
        <is>
          <t>跃动少儿运动馆</t>
        </is>
      </c>
      <c r="F514" s="7" t="n">
        <v>103500</v>
      </c>
      <c r="G514" s="7" t="n">
        <v>66600</v>
      </c>
      <c r="H514" s="7" t="n">
        <v>36900</v>
      </c>
      <c r="I514" s="8" t="n">
        <v>0.3565217391304348</v>
      </c>
    </row>
    <row r="515">
      <c r="A515" s="6" t="inlineStr">
        <is>
          <t>2025-06</t>
        </is>
      </c>
      <c r="B515" s="6" t="inlineStr">
        <is>
          <t>篮球装备</t>
        </is>
      </c>
      <c r="C515" s="6" t="inlineStr">
        <is>
          <t>华南</t>
        </is>
      </c>
      <c r="D515" s="6" t="inlineStr">
        <is>
          <t>刘强</t>
        </is>
      </c>
      <c r="E515" s="6" t="inlineStr">
        <is>
          <t>成长树运动馆</t>
        </is>
      </c>
      <c r="F515" s="7" t="n">
        <v>115800</v>
      </c>
      <c r="G515" s="7" t="n">
        <v>76000</v>
      </c>
      <c r="H515" s="7" t="n">
        <v>39800</v>
      </c>
      <c r="I515" s="8" t="n">
        <v>0.3436960276338515</v>
      </c>
    </row>
    <row r="516">
      <c r="A516" s="6" t="inlineStr">
        <is>
          <t>2025-06</t>
        </is>
      </c>
      <c r="B516" s="6" t="inlineStr">
        <is>
          <t>篮球装备</t>
        </is>
      </c>
      <c r="C516" s="6" t="inlineStr">
        <is>
          <t>华南</t>
        </is>
      </c>
      <c r="D516" s="6" t="inlineStr">
        <is>
          <t>陈静</t>
        </is>
      </c>
      <c r="E516" s="6" t="inlineStr">
        <is>
          <t>启航健身中心</t>
        </is>
      </c>
      <c r="F516" s="7" t="n">
        <v>108400</v>
      </c>
      <c r="G516" s="7" t="n">
        <v>73000</v>
      </c>
      <c r="H516" s="7" t="n">
        <v>35400</v>
      </c>
      <c r="I516" s="8" t="n">
        <v>0.3265682656826568</v>
      </c>
    </row>
    <row r="517">
      <c r="A517" s="6" t="inlineStr">
        <is>
          <t>2025-06</t>
        </is>
      </c>
      <c r="B517" s="6" t="inlineStr">
        <is>
          <t>篮球装备</t>
        </is>
      </c>
      <c r="C517" s="6" t="inlineStr">
        <is>
          <t>西部</t>
        </is>
      </c>
      <c r="D517" s="6" t="inlineStr">
        <is>
          <t>张伟</t>
        </is>
      </c>
      <c r="E517" s="6" t="inlineStr">
        <is>
          <t>风云篮球馆</t>
        </is>
      </c>
      <c r="F517" s="7" t="n">
        <v>59400</v>
      </c>
      <c r="G517" s="7" t="n">
        <v>39300</v>
      </c>
      <c r="H517" s="7" t="n">
        <v>20100</v>
      </c>
      <c r="I517" s="8" t="n">
        <v>0.3383838383838384</v>
      </c>
    </row>
    <row r="518">
      <c r="A518" s="6" t="inlineStr">
        <is>
          <t>2025-06</t>
        </is>
      </c>
      <c r="B518" s="6" t="inlineStr">
        <is>
          <t>篮球装备</t>
        </is>
      </c>
      <c r="C518" s="6" t="inlineStr">
        <is>
          <t>西部</t>
        </is>
      </c>
      <c r="D518" s="6" t="inlineStr">
        <is>
          <t>李娜</t>
        </is>
      </c>
      <c r="E518" s="6" t="inlineStr">
        <is>
          <t>锋行体育</t>
        </is>
      </c>
      <c r="F518" s="7" t="n">
        <v>64800</v>
      </c>
      <c r="G518" s="7" t="n">
        <v>43100</v>
      </c>
      <c r="H518" s="7" t="n">
        <v>21700</v>
      </c>
      <c r="I518" s="8" t="n">
        <v>0.3348765432098765</v>
      </c>
    </row>
    <row r="519">
      <c r="A519" s="6" t="inlineStr">
        <is>
          <t>2025-06</t>
        </is>
      </c>
      <c r="B519" s="6" t="inlineStr">
        <is>
          <t>篮球装备</t>
        </is>
      </c>
      <c r="C519" s="6" t="inlineStr">
        <is>
          <t>西部</t>
        </is>
      </c>
      <c r="D519" s="6" t="inlineStr">
        <is>
          <t>王芳</t>
        </is>
      </c>
      <c r="E519" s="6" t="inlineStr">
        <is>
          <t>乐动体育</t>
        </is>
      </c>
      <c r="F519" s="7" t="n">
        <v>81700</v>
      </c>
      <c r="G519" s="7" t="n">
        <v>54900</v>
      </c>
      <c r="H519" s="7" t="n">
        <v>26800</v>
      </c>
      <c r="I519" s="8" t="n">
        <v>0.3280293757649939</v>
      </c>
    </row>
    <row r="520">
      <c r="A520" s="6" t="inlineStr">
        <is>
          <t>2025-06</t>
        </is>
      </c>
      <c r="B520" s="6" t="inlineStr">
        <is>
          <t>篮球装备</t>
        </is>
      </c>
      <c r="C520" s="6" t="inlineStr">
        <is>
          <t>西部</t>
        </is>
      </c>
      <c r="D520" s="6" t="inlineStr">
        <is>
          <t>刘强</t>
        </is>
      </c>
      <c r="E520" s="6" t="inlineStr">
        <is>
          <t>小小运动家</t>
        </is>
      </c>
      <c r="F520" s="7" t="n">
        <v>73100</v>
      </c>
      <c r="G520" s="7" t="n">
        <v>49500</v>
      </c>
      <c r="H520" s="7" t="n">
        <v>23600</v>
      </c>
      <c r="I520" s="8" t="n">
        <v>0.3228454172366621</v>
      </c>
    </row>
    <row r="521">
      <c r="A521" s="6" t="inlineStr">
        <is>
          <t>2025-06</t>
        </is>
      </c>
      <c r="B521" s="6" t="inlineStr">
        <is>
          <t>篮球装备</t>
        </is>
      </c>
      <c r="C521" s="6" t="inlineStr">
        <is>
          <t>西部</t>
        </is>
      </c>
      <c r="D521" s="6" t="inlineStr">
        <is>
          <t>陈静</t>
        </is>
      </c>
      <c r="E521" s="6" t="inlineStr">
        <is>
          <t>超能体育</t>
        </is>
      </c>
      <c r="F521" s="7" t="n">
        <v>61500</v>
      </c>
      <c r="G521" s="7" t="n">
        <v>39400</v>
      </c>
      <c r="H521" s="7" t="n">
        <v>22100</v>
      </c>
      <c r="I521" s="8" t="n">
        <v>0.359349593495935</v>
      </c>
    </row>
    <row r="522">
      <c r="A522" s="6" t="inlineStr">
        <is>
          <t>2025-06</t>
        </is>
      </c>
      <c r="B522" s="6" t="inlineStr">
        <is>
          <t>体适能器材</t>
        </is>
      </c>
      <c r="C522" s="6" t="inlineStr">
        <is>
          <t>华东</t>
        </is>
      </c>
      <c r="D522" s="6" t="inlineStr">
        <is>
          <t>张伟</t>
        </is>
      </c>
      <c r="E522" s="6" t="inlineStr">
        <is>
          <t>悍将运动</t>
        </is>
      </c>
      <c r="F522" s="7" t="n">
        <v>101600</v>
      </c>
      <c r="G522" s="7" t="n">
        <v>69600</v>
      </c>
      <c r="H522" s="7" t="n">
        <v>32000</v>
      </c>
      <c r="I522" s="8" t="n">
        <v>0.3149606299212598</v>
      </c>
    </row>
    <row r="523">
      <c r="A523" s="6" t="inlineStr">
        <is>
          <t>2025-06</t>
        </is>
      </c>
      <c r="B523" s="6" t="inlineStr">
        <is>
          <t>体适能器材</t>
        </is>
      </c>
      <c r="C523" s="6" t="inlineStr">
        <is>
          <t>华东</t>
        </is>
      </c>
      <c r="D523" s="6" t="inlineStr">
        <is>
          <t>李娜</t>
        </is>
      </c>
      <c r="E523" s="6" t="inlineStr">
        <is>
          <t>成长树运动馆</t>
        </is>
      </c>
      <c r="F523" s="7" t="n">
        <v>95100</v>
      </c>
      <c r="G523" s="7" t="n">
        <v>67100</v>
      </c>
      <c r="H523" s="7" t="n">
        <v>28000</v>
      </c>
      <c r="I523" s="8" t="n">
        <v>0.2944269190325973</v>
      </c>
    </row>
    <row r="524">
      <c r="A524" s="6" t="inlineStr">
        <is>
          <t>2025-06</t>
        </is>
      </c>
      <c r="B524" s="6" t="inlineStr">
        <is>
          <t>体适能器材</t>
        </is>
      </c>
      <c r="C524" s="6" t="inlineStr">
        <is>
          <t>华东</t>
        </is>
      </c>
      <c r="D524" s="6" t="inlineStr">
        <is>
          <t>王芳</t>
        </is>
      </c>
      <c r="E524" s="6" t="inlineStr">
        <is>
          <t>健将体育</t>
        </is>
      </c>
      <c r="F524" s="7" t="n">
        <v>87600</v>
      </c>
      <c r="G524" s="7" t="n">
        <v>62400</v>
      </c>
      <c r="H524" s="7" t="n">
        <v>25200</v>
      </c>
      <c r="I524" s="8" t="n">
        <v>0.2876712328767123</v>
      </c>
    </row>
    <row r="525">
      <c r="A525" s="6" t="inlineStr">
        <is>
          <t>2025-06</t>
        </is>
      </c>
      <c r="B525" s="6" t="inlineStr">
        <is>
          <t>体适能器材</t>
        </is>
      </c>
      <c r="C525" s="6" t="inlineStr">
        <is>
          <t>华东</t>
        </is>
      </c>
      <c r="D525" s="6" t="inlineStr">
        <is>
          <t>刘强</t>
        </is>
      </c>
      <c r="E525" s="6" t="inlineStr">
        <is>
          <t>迈步体育</t>
        </is>
      </c>
      <c r="F525" s="7" t="n">
        <v>99800</v>
      </c>
      <c r="G525" s="7" t="n">
        <v>70600</v>
      </c>
      <c r="H525" s="7" t="n">
        <v>29200</v>
      </c>
      <c r="I525" s="8" t="n">
        <v>0.2925851703406814</v>
      </c>
    </row>
    <row r="526">
      <c r="A526" s="6" t="inlineStr">
        <is>
          <t>2025-06</t>
        </is>
      </c>
      <c r="B526" s="6" t="inlineStr">
        <is>
          <t>体适能器材</t>
        </is>
      </c>
      <c r="C526" s="6" t="inlineStr">
        <is>
          <t>华东</t>
        </is>
      </c>
      <c r="D526" s="6" t="inlineStr">
        <is>
          <t>陈静</t>
        </is>
      </c>
      <c r="E526" s="6" t="inlineStr">
        <is>
          <t>锐健身工作室</t>
        </is>
      </c>
      <c r="F526" s="7" t="n">
        <v>88900</v>
      </c>
      <c r="G526" s="7" t="n">
        <v>63400</v>
      </c>
      <c r="H526" s="7" t="n">
        <v>25500</v>
      </c>
      <c r="I526" s="8" t="n">
        <v>0.2868391451068616</v>
      </c>
    </row>
    <row r="527">
      <c r="A527" s="6" t="inlineStr">
        <is>
          <t>2025-06</t>
        </is>
      </c>
      <c r="B527" s="6" t="inlineStr">
        <is>
          <t>体适能器材</t>
        </is>
      </c>
      <c r="C527" s="6" t="inlineStr">
        <is>
          <t>华北</t>
        </is>
      </c>
      <c r="D527" s="6" t="inlineStr">
        <is>
          <t>张伟</t>
        </is>
      </c>
      <c r="E527" s="6" t="inlineStr">
        <is>
          <t>启航健身中心</t>
        </is>
      </c>
      <c r="F527" s="7" t="n">
        <v>78000</v>
      </c>
      <c r="G527" s="7" t="n">
        <v>56600</v>
      </c>
      <c r="H527" s="7" t="n">
        <v>21400</v>
      </c>
      <c r="I527" s="8" t="n">
        <v>0.2743589743589744</v>
      </c>
    </row>
    <row r="528">
      <c r="A528" s="6" t="inlineStr">
        <is>
          <t>2025-06</t>
        </is>
      </c>
      <c r="B528" s="6" t="inlineStr">
        <is>
          <t>体适能器材</t>
        </is>
      </c>
      <c r="C528" s="6" t="inlineStr">
        <is>
          <t>华北</t>
        </is>
      </c>
      <c r="D528" s="6" t="inlineStr">
        <is>
          <t>李娜</t>
        </is>
      </c>
      <c r="E528" s="6" t="inlineStr">
        <is>
          <t>巅峰运动</t>
        </is>
      </c>
      <c r="F528" s="7" t="n">
        <v>82600</v>
      </c>
      <c r="G528" s="7" t="n">
        <v>56300</v>
      </c>
      <c r="H528" s="7" t="n">
        <v>26300</v>
      </c>
      <c r="I528" s="8" t="n">
        <v>0.3184019370460048</v>
      </c>
    </row>
    <row r="529">
      <c r="A529" s="6" t="inlineStr">
        <is>
          <t>2025-06</t>
        </is>
      </c>
      <c r="B529" s="6" t="inlineStr">
        <is>
          <t>体适能器材</t>
        </is>
      </c>
      <c r="C529" s="6" t="inlineStr">
        <is>
          <t>华北</t>
        </is>
      </c>
      <c r="D529" s="6" t="inlineStr">
        <is>
          <t>王芳</t>
        </is>
      </c>
      <c r="E529" s="6" t="inlineStr">
        <is>
          <t>康威运动商城</t>
        </is>
      </c>
      <c r="F529" s="7" t="n">
        <v>69200</v>
      </c>
      <c r="G529" s="7" t="n">
        <v>48200</v>
      </c>
      <c r="H529" s="7" t="n">
        <v>21000</v>
      </c>
      <c r="I529" s="8" t="n">
        <v>0.3034682080924855</v>
      </c>
    </row>
    <row r="530">
      <c r="A530" s="6" t="inlineStr">
        <is>
          <t>2025-06</t>
        </is>
      </c>
      <c r="B530" s="6" t="inlineStr">
        <is>
          <t>体适能器材</t>
        </is>
      </c>
      <c r="C530" s="6" t="inlineStr">
        <is>
          <t>华北</t>
        </is>
      </c>
      <c r="D530" s="6" t="inlineStr">
        <is>
          <t>刘强</t>
        </is>
      </c>
      <c r="E530" s="6" t="inlineStr">
        <is>
          <t>悍将运动</t>
        </is>
      </c>
      <c r="F530" s="7" t="n">
        <v>62100</v>
      </c>
      <c r="G530" s="7" t="n">
        <v>43600</v>
      </c>
      <c r="H530" s="7" t="n">
        <v>18500</v>
      </c>
      <c r="I530" s="8" t="n">
        <v>0.2979066022544283</v>
      </c>
    </row>
    <row r="531">
      <c r="A531" s="6" t="inlineStr">
        <is>
          <t>2025-06</t>
        </is>
      </c>
      <c r="B531" s="6" t="inlineStr">
        <is>
          <t>体适能器材</t>
        </is>
      </c>
      <c r="C531" s="6" t="inlineStr">
        <is>
          <t>华北</t>
        </is>
      </c>
      <c r="D531" s="6" t="inlineStr">
        <is>
          <t>陈静</t>
        </is>
      </c>
      <c r="E531" s="6" t="inlineStr">
        <is>
          <t>锐健身工作室</t>
        </is>
      </c>
      <c r="F531" s="7" t="n">
        <v>67200</v>
      </c>
      <c r="G531" s="7" t="n">
        <v>48800</v>
      </c>
      <c r="H531" s="7" t="n">
        <v>18400</v>
      </c>
      <c r="I531" s="8" t="n">
        <v>0.2738095238095238</v>
      </c>
    </row>
    <row r="532">
      <c r="A532" s="6" t="inlineStr">
        <is>
          <t>2025-06</t>
        </is>
      </c>
      <c r="B532" s="6" t="inlineStr">
        <is>
          <t>体适能器材</t>
        </is>
      </c>
      <c r="C532" s="6" t="inlineStr">
        <is>
          <t>华南</t>
        </is>
      </c>
      <c r="D532" s="6" t="inlineStr">
        <is>
          <t>张伟</t>
        </is>
      </c>
      <c r="E532" s="6" t="inlineStr">
        <is>
          <t>悍将运动</t>
        </is>
      </c>
      <c r="F532" s="7" t="n">
        <v>87500</v>
      </c>
      <c r="G532" s="7" t="n">
        <v>60600</v>
      </c>
      <c r="H532" s="7" t="n">
        <v>26900</v>
      </c>
      <c r="I532" s="8" t="n">
        <v>0.3074285714285714</v>
      </c>
    </row>
    <row r="533">
      <c r="A533" s="6" t="inlineStr">
        <is>
          <t>2025-06</t>
        </is>
      </c>
      <c r="B533" s="6" t="inlineStr">
        <is>
          <t>体适能器材</t>
        </is>
      </c>
      <c r="C533" s="6" t="inlineStr">
        <is>
          <t>华南</t>
        </is>
      </c>
      <c r="D533" s="6" t="inlineStr">
        <is>
          <t>李娜</t>
        </is>
      </c>
      <c r="E533" s="6" t="inlineStr">
        <is>
          <t>健将体育</t>
        </is>
      </c>
      <c r="F533" s="7" t="n">
        <v>78100</v>
      </c>
      <c r="G533" s="7" t="n">
        <v>53400</v>
      </c>
      <c r="H533" s="7" t="n">
        <v>24700</v>
      </c>
      <c r="I533" s="8" t="n">
        <v>0.3162612035851473</v>
      </c>
    </row>
    <row r="534">
      <c r="A534" s="6" t="inlineStr">
        <is>
          <t>2025-06</t>
        </is>
      </c>
      <c r="B534" s="6" t="inlineStr">
        <is>
          <t>体适能器材</t>
        </is>
      </c>
      <c r="C534" s="6" t="inlineStr">
        <is>
          <t>华南</t>
        </is>
      </c>
      <c r="D534" s="6" t="inlineStr">
        <is>
          <t>王芳</t>
        </is>
      </c>
      <c r="E534" s="6" t="inlineStr">
        <is>
          <t>乐动体育</t>
        </is>
      </c>
      <c r="F534" s="7" t="n">
        <v>87000</v>
      </c>
      <c r="G534" s="7" t="n">
        <v>61900</v>
      </c>
      <c r="H534" s="7" t="n">
        <v>25100</v>
      </c>
      <c r="I534" s="8" t="n">
        <v>0.2885057471264368</v>
      </c>
    </row>
    <row r="535">
      <c r="A535" s="6" t="inlineStr">
        <is>
          <t>2025-06</t>
        </is>
      </c>
      <c r="B535" s="6" t="inlineStr">
        <is>
          <t>体适能器材</t>
        </is>
      </c>
      <c r="C535" s="6" t="inlineStr">
        <is>
          <t>华南</t>
        </is>
      </c>
      <c r="D535" s="6" t="inlineStr">
        <is>
          <t>刘强</t>
        </is>
      </c>
      <c r="E535" s="6" t="inlineStr">
        <is>
          <t>启航健身中心</t>
        </is>
      </c>
      <c r="F535" s="7" t="n">
        <v>71800</v>
      </c>
      <c r="G535" s="7" t="n">
        <v>52100</v>
      </c>
      <c r="H535" s="7" t="n">
        <v>19700</v>
      </c>
      <c r="I535" s="8" t="n">
        <v>0.2743732590529248</v>
      </c>
    </row>
    <row r="536">
      <c r="A536" s="6" t="inlineStr">
        <is>
          <t>2025-06</t>
        </is>
      </c>
      <c r="B536" s="6" t="inlineStr">
        <is>
          <t>体适能器材</t>
        </is>
      </c>
      <c r="C536" s="6" t="inlineStr">
        <is>
          <t>华南</t>
        </is>
      </c>
      <c r="D536" s="6" t="inlineStr">
        <is>
          <t>陈静</t>
        </is>
      </c>
      <c r="E536" s="6" t="inlineStr">
        <is>
          <t>恒康营养</t>
        </is>
      </c>
      <c r="F536" s="7" t="n">
        <v>88900</v>
      </c>
      <c r="G536" s="7" t="n">
        <v>60100</v>
      </c>
      <c r="H536" s="7" t="n">
        <v>28800</v>
      </c>
      <c r="I536" s="8" t="n">
        <v>0.3239595050618673</v>
      </c>
    </row>
    <row r="537">
      <c r="A537" s="6" t="inlineStr">
        <is>
          <t>2025-06</t>
        </is>
      </c>
      <c r="B537" s="6" t="inlineStr">
        <is>
          <t>体适能器材</t>
        </is>
      </c>
      <c r="C537" s="6" t="inlineStr">
        <is>
          <t>西部</t>
        </is>
      </c>
      <c r="D537" s="6" t="inlineStr">
        <is>
          <t>张伟</t>
        </is>
      </c>
      <c r="E537" s="6" t="inlineStr">
        <is>
          <t>星跃体育</t>
        </is>
      </c>
      <c r="F537" s="7" t="n">
        <v>51200</v>
      </c>
      <c r="G537" s="7" t="n">
        <v>36500</v>
      </c>
      <c r="H537" s="7" t="n">
        <v>14700</v>
      </c>
      <c r="I537" s="8" t="n">
        <v>0.287109375</v>
      </c>
    </row>
    <row r="538">
      <c r="A538" s="6" t="inlineStr">
        <is>
          <t>2025-06</t>
        </is>
      </c>
      <c r="B538" s="6" t="inlineStr">
        <is>
          <t>体适能器材</t>
        </is>
      </c>
      <c r="C538" s="6" t="inlineStr">
        <is>
          <t>西部</t>
        </is>
      </c>
      <c r="D538" s="6" t="inlineStr">
        <is>
          <t>李娜</t>
        </is>
      </c>
      <c r="E538" s="6" t="inlineStr">
        <is>
          <t>迈步体育</t>
        </is>
      </c>
      <c r="F538" s="7" t="n">
        <v>47800</v>
      </c>
      <c r="G538" s="7" t="n">
        <v>34200</v>
      </c>
      <c r="H538" s="7" t="n">
        <v>13600</v>
      </c>
      <c r="I538" s="8" t="n">
        <v>0.2845188284518829</v>
      </c>
    </row>
    <row r="539">
      <c r="A539" s="6" t="inlineStr">
        <is>
          <t>2025-06</t>
        </is>
      </c>
      <c r="B539" s="6" t="inlineStr">
        <is>
          <t>体适能器材</t>
        </is>
      </c>
      <c r="C539" s="6" t="inlineStr">
        <is>
          <t>西部</t>
        </is>
      </c>
      <c r="D539" s="6" t="inlineStr">
        <is>
          <t>王芳</t>
        </is>
      </c>
      <c r="E539" s="6" t="inlineStr">
        <is>
          <t>启航健身中心</t>
        </is>
      </c>
      <c r="F539" s="7" t="n">
        <v>63000</v>
      </c>
      <c r="G539" s="7" t="n">
        <v>45600</v>
      </c>
      <c r="H539" s="7" t="n">
        <v>17400</v>
      </c>
      <c r="I539" s="8" t="n">
        <v>0.2761904761904762</v>
      </c>
    </row>
    <row r="540">
      <c r="A540" s="6" t="inlineStr">
        <is>
          <t>2025-06</t>
        </is>
      </c>
      <c r="B540" s="6" t="inlineStr">
        <is>
          <t>体适能器材</t>
        </is>
      </c>
      <c r="C540" s="6" t="inlineStr">
        <is>
          <t>西部</t>
        </is>
      </c>
      <c r="D540" s="6" t="inlineStr">
        <is>
          <t>刘强</t>
        </is>
      </c>
      <c r="E540" s="6" t="inlineStr">
        <is>
          <t>迈步体育</t>
        </is>
      </c>
      <c r="F540" s="7" t="n">
        <v>46300</v>
      </c>
      <c r="G540" s="7" t="n">
        <v>31700</v>
      </c>
      <c r="H540" s="7" t="n">
        <v>14600</v>
      </c>
      <c r="I540" s="8" t="n">
        <v>0.3153347732181426</v>
      </c>
    </row>
    <row r="541">
      <c r="A541" s="6" t="inlineStr">
        <is>
          <t>2025-06</t>
        </is>
      </c>
      <c r="B541" s="6" t="inlineStr">
        <is>
          <t>体适能器材</t>
        </is>
      </c>
      <c r="C541" s="6" t="inlineStr">
        <is>
          <t>西部</t>
        </is>
      </c>
      <c r="D541" s="6" t="inlineStr">
        <is>
          <t>陈静</t>
        </is>
      </c>
      <c r="E541" s="6" t="inlineStr">
        <is>
          <t>童行运动馆</t>
        </is>
      </c>
      <c r="F541" s="7" t="n">
        <v>50400</v>
      </c>
      <c r="G541" s="7" t="n">
        <v>35400</v>
      </c>
      <c r="H541" s="7" t="n">
        <v>15000</v>
      </c>
      <c r="I541" s="8" t="n">
        <v>0.2976190476190476</v>
      </c>
    </row>
    <row r="542">
      <c r="A542" s="6" t="inlineStr">
        <is>
          <t>2025-06</t>
        </is>
      </c>
      <c r="B542" s="6" t="inlineStr">
        <is>
          <t>训练服饰</t>
        </is>
      </c>
      <c r="C542" s="6" t="inlineStr">
        <is>
          <t>华东</t>
        </is>
      </c>
      <c r="D542" s="6" t="inlineStr">
        <is>
          <t>张伟</t>
        </is>
      </c>
      <c r="E542" s="6" t="inlineStr">
        <is>
          <t>纵横运动</t>
        </is>
      </c>
      <c r="F542" s="7" t="n">
        <v>66200</v>
      </c>
      <c r="G542" s="7" t="n">
        <v>36200</v>
      </c>
      <c r="H542" s="7" t="n">
        <v>30000</v>
      </c>
      <c r="I542" s="8" t="n">
        <v>0.4531722054380665</v>
      </c>
    </row>
    <row r="543">
      <c r="A543" s="6" t="inlineStr">
        <is>
          <t>2025-06</t>
        </is>
      </c>
      <c r="B543" s="6" t="inlineStr">
        <is>
          <t>训练服饰</t>
        </is>
      </c>
      <c r="C543" s="6" t="inlineStr">
        <is>
          <t>华东</t>
        </is>
      </c>
      <c r="D543" s="6" t="inlineStr">
        <is>
          <t>李娜</t>
        </is>
      </c>
      <c r="E543" s="6" t="inlineStr">
        <is>
          <t>恒康营养</t>
        </is>
      </c>
      <c r="F543" s="7" t="n">
        <v>69800</v>
      </c>
      <c r="G543" s="7" t="n">
        <v>39400</v>
      </c>
      <c r="H543" s="7" t="n">
        <v>30400</v>
      </c>
      <c r="I543" s="8" t="n">
        <v>0.4355300859598854</v>
      </c>
    </row>
    <row r="544">
      <c r="A544" s="6" t="inlineStr">
        <is>
          <t>2025-06</t>
        </is>
      </c>
      <c r="B544" s="6" t="inlineStr">
        <is>
          <t>训练服饰</t>
        </is>
      </c>
      <c r="C544" s="6" t="inlineStr">
        <is>
          <t>华东</t>
        </is>
      </c>
      <c r="D544" s="6" t="inlineStr">
        <is>
          <t>王芳</t>
        </is>
      </c>
      <c r="E544" s="6" t="inlineStr">
        <is>
          <t>极客穿戴</t>
        </is>
      </c>
      <c r="F544" s="7" t="n">
        <v>66100</v>
      </c>
      <c r="G544" s="7" t="n">
        <v>38100</v>
      </c>
      <c r="H544" s="7" t="n">
        <v>28000</v>
      </c>
      <c r="I544" s="8" t="n">
        <v>0.4236006051437216</v>
      </c>
    </row>
    <row r="545">
      <c r="A545" s="6" t="inlineStr">
        <is>
          <t>2025-06</t>
        </is>
      </c>
      <c r="B545" s="6" t="inlineStr">
        <is>
          <t>训练服饰</t>
        </is>
      </c>
      <c r="C545" s="6" t="inlineStr">
        <is>
          <t>华东</t>
        </is>
      </c>
      <c r="D545" s="6" t="inlineStr">
        <is>
          <t>刘强</t>
        </is>
      </c>
      <c r="E545" s="6" t="inlineStr">
        <is>
          <t>冠军之路俱乐部</t>
        </is>
      </c>
      <c r="F545" s="7" t="n">
        <v>53500</v>
      </c>
      <c r="G545" s="7" t="n">
        <v>30600</v>
      </c>
      <c r="H545" s="7" t="n">
        <v>22900</v>
      </c>
      <c r="I545" s="8" t="n">
        <v>0.4280373831775701</v>
      </c>
    </row>
    <row r="546">
      <c r="A546" s="6" t="inlineStr">
        <is>
          <t>2025-06</t>
        </is>
      </c>
      <c r="B546" s="6" t="inlineStr">
        <is>
          <t>训练服饰</t>
        </is>
      </c>
      <c r="C546" s="6" t="inlineStr">
        <is>
          <t>华东</t>
        </is>
      </c>
      <c r="D546" s="6" t="inlineStr">
        <is>
          <t>陈静</t>
        </is>
      </c>
      <c r="E546" s="6" t="inlineStr">
        <is>
          <t>锋行体育</t>
        </is>
      </c>
      <c r="F546" s="7" t="n">
        <v>60200</v>
      </c>
      <c r="G546" s="7" t="n">
        <v>32700</v>
      </c>
      <c r="H546" s="7" t="n">
        <v>27500</v>
      </c>
      <c r="I546" s="8" t="n">
        <v>0.4568106312292359</v>
      </c>
    </row>
    <row r="547">
      <c r="A547" s="6" t="inlineStr">
        <is>
          <t>2025-06</t>
        </is>
      </c>
      <c r="B547" s="6" t="inlineStr">
        <is>
          <t>训练服饰</t>
        </is>
      </c>
      <c r="C547" s="6" t="inlineStr">
        <is>
          <t>华北</t>
        </is>
      </c>
      <c r="D547" s="6" t="inlineStr">
        <is>
          <t>张伟</t>
        </is>
      </c>
      <c r="E547" s="6" t="inlineStr">
        <is>
          <t>篮途体育文化</t>
        </is>
      </c>
      <c r="F547" s="7" t="n">
        <v>54300</v>
      </c>
      <c r="G547" s="7" t="n">
        <v>29800</v>
      </c>
      <c r="H547" s="7" t="n">
        <v>24500</v>
      </c>
      <c r="I547" s="8" t="n">
        <v>0.4511970534069982</v>
      </c>
    </row>
    <row r="548">
      <c r="A548" s="6" t="inlineStr">
        <is>
          <t>2025-06</t>
        </is>
      </c>
      <c r="B548" s="6" t="inlineStr">
        <is>
          <t>训练服饰</t>
        </is>
      </c>
      <c r="C548" s="6" t="inlineStr">
        <is>
          <t>华北</t>
        </is>
      </c>
      <c r="D548" s="6" t="inlineStr">
        <is>
          <t>李娜</t>
        </is>
      </c>
      <c r="E548" s="6" t="inlineStr">
        <is>
          <t>超能体育</t>
        </is>
      </c>
      <c r="F548" s="7" t="n">
        <v>51700</v>
      </c>
      <c r="G548" s="7" t="n">
        <v>29700</v>
      </c>
      <c r="H548" s="7" t="n">
        <v>22000</v>
      </c>
      <c r="I548" s="8" t="n">
        <v>0.425531914893617</v>
      </c>
    </row>
    <row r="549">
      <c r="A549" s="6" t="inlineStr">
        <is>
          <t>2025-06</t>
        </is>
      </c>
      <c r="B549" s="6" t="inlineStr">
        <is>
          <t>训练服饰</t>
        </is>
      </c>
      <c r="C549" s="6" t="inlineStr">
        <is>
          <t>华北</t>
        </is>
      </c>
      <c r="D549" s="6" t="inlineStr">
        <is>
          <t>王芳</t>
        </is>
      </c>
      <c r="E549" s="6" t="inlineStr">
        <is>
          <t>风云篮球馆</t>
        </is>
      </c>
      <c r="F549" s="7" t="n">
        <v>50100</v>
      </c>
      <c r="G549" s="7" t="n">
        <v>28600</v>
      </c>
      <c r="H549" s="7" t="n">
        <v>21500</v>
      </c>
      <c r="I549" s="8" t="n">
        <v>0.4291417165668663</v>
      </c>
    </row>
    <row r="550">
      <c r="A550" s="6" t="inlineStr">
        <is>
          <t>2025-06</t>
        </is>
      </c>
      <c r="B550" s="6" t="inlineStr">
        <is>
          <t>训练服饰</t>
        </is>
      </c>
      <c r="C550" s="6" t="inlineStr">
        <is>
          <t>华北</t>
        </is>
      </c>
      <c r="D550" s="6" t="inlineStr">
        <is>
          <t>刘强</t>
        </is>
      </c>
      <c r="E550" s="6" t="inlineStr">
        <is>
          <t>锐健身工作室</t>
        </is>
      </c>
      <c r="F550" s="7" t="n">
        <v>44100</v>
      </c>
      <c r="G550" s="7" t="n">
        <v>24100</v>
      </c>
      <c r="H550" s="7" t="n">
        <v>20000</v>
      </c>
      <c r="I550" s="8" t="n">
        <v>0.453514739229025</v>
      </c>
    </row>
    <row r="551">
      <c r="A551" s="6" t="inlineStr">
        <is>
          <t>2025-06</t>
        </is>
      </c>
      <c r="B551" s="6" t="inlineStr">
        <is>
          <t>训练服饰</t>
        </is>
      </c>
      <c r="C551" s="6" t="inlineStr">
        <is>
          <t>华北</t>
        </is>
      </c>
      <c r="D551" s="6" t="inlineStr">
        <is>
          <t>陈静</t>
        </is>
      </c>
      <c r="E551" s="6" t="inlineStr">
        <is>
          <t>风云篮球馆</t>
        </is>
      </c>
      <c r="F551" s="7" t="n">
        <v>43100</v>
      </c>
      <c r="G551" s="7" t="n">
        <v>24800</v>
      </c>
      <c r="H551" s="7" t="n">
        <v>18300</v>
      </c>
      <c r="I551" s="8" t="n">
        <v>0.4245939675174014</v>
      </c>
    </row>
    <row r="552">
      <c r="A552" s="6" t="inlineStr">
        <is>
          <t>2025-06</t>
        </is>
      </c>
      <c r="B552" s="6" t="inlineStr">
        <is>
          <t>训练服饰</t>
        </is>
      </c>
      <c r="C552" s="6" t="inlineStr">
        <is>
          <t>华南</t>
        </is>
      </c>
      <c r="D552" s="6" t="inlineStr">
        <is>
          <t>张伟</t>
        </is>
      </c>
      <c r="E552" s="6" t="inlineStr">
        <is>
          <t>元气营养</t>
        </is>
      </c>
      <c r="F552" s="7" t="n">
        <v>58400</v>
      </c>
      <c r="G552" s="7" t="n">
        <v>32200</v>
      </c>
      <c r="H552" s="7" t="n">
        <v>26200</v>
      </c>
      <c r="I552" s="8" t="n">
        <v>0.4486301369863014</v>
      </c>
    </row>
    <row r="553">
      <c r="A553" s="6" t="inlineStr">
        <is>
          <t>2025-06</t>
        </is>
      </c>
      <c r="B553" s="6" t="inlineStr">
        <is>
          <t>训练服饰</t>
        </is>
      </c>
      <c r="C553" s="6" t="inlineStr">
        <is>
          <t>华南</t>
        </is>
      </c>
      <c r="D553" s="6" t="inlineStr">
        <is>
          <t>李娜</t>
        </is>
      </c>
      <c r="E553" s="6" t="inlineStr">
        <is>
          <t>篮途体育文化</t>
        </is>
      </c>
      <c r="F553" s="7" t="n">
        <v>63900</v>
      </c>
      <c r="G553" s="7" t="n">
        <v>34800</v>
      </c>
      <c r="H553" s="7" t="n">
        <v>29100</v>
      </c>
      <c r="I553" s="8" t="n">
        <v>0.4553990610328639</v>
      </c>
    </row>
    <row r="554">
      <c r="A554" s="6" t="inlineStr">
        <is>
          <t>2025-06</t>
        </is>
      </c>
      <c r="B554" s="6" t="inlineStr">
        <is>
          <t>训练服饰</t>
        </is>
      </c>
      <c r="C554" s="6" t="inlineStr">
        <is>
          <t>华南</t>
        </is>
      </c>
      <c r="D554" s="6" t="inlineStr">
        <is>
          <t>王芳</t>
        </is>
      </c>
      <c r="E554" s="6" t="inlineStr">
        <is>
          <t>雷霆篮球</t>
        </is>
      </c>
      <c r="F554" s="7" t="n">
        <v>58800</v>
      </c>
      <c r="G554" s="7" t="n">
        <v>31200</v>
      </c>
      <c r="H554" s="7" t="n">
        <v>27600</v>
      </c>
      <c r="I554" s="8" t="n">
        <v>0.4693877551020408</v>
      </c>
    </row>
    <row r="555">
      <c r="A555" s="6" t="inlineStr">
        <is>
          <t>2025-06</t>
        </is>
      </c>
      <c r="B555" s="6" t="inlineStr">
        <is>
          <t>训练服饰</t>
        </is>
      </c>
      <c r="C555" s="6" t="inlineStr">
        <is>
          <t>华南</t>
        </is>
      </c>
      <c r="D555" s="6" t="inlineStr">
        <is>
          <t>刘强</t>
        </is>
      </c>
      <c r="E555" s="6" t="inlineStr">
        <is>
          <t>锐健身工作室</t>
        </is>
      </c>
      <c r="F555" s="7" t="n">
        <v>53600</v>
      </c>
      <c r="G555" s="7" t="n">
        <v>30200</v>
      </c>
      <c r="H555" s="7" t="n">
        <v>23400</v>
      </c>
      <c r="I555" s="8" t="n">
        <v>0.4365671641791045</v>
      </c>
    </row>
    <row r="556">
      <c r="A556" s="6" t="inlineStr">
        <is>
          <t>2025-06</t>
        </is>
      </c>
      <c r="B556" s="6" t="inlineStr">
        <is>
          <t>训练服饰</t>
        </is>
      </c>
      <c r="C556" s="6" t="inlineStr">
        <is>
          <t>华南</t>
        </is>
      </c>
      <c r="D556" s="6" t="inlineStr">
        <is>
          <t>陈静</t>
        </is>
      </c>
      <c r="E556" s="6" t="inlineStr">
        <is>
          <t>元气营养</t>
        </is>
      </c>
      <c r="F556" s="7" t="n">
        <v>45400</v>
      </c>
      <c r="G556" s="7" t="n">
        <v>24700</v>
      </c>
      <c r="H556" s="7" t="n">
        <v>20700</v>
      </c>
      <c r="I556" s="8" t="n">
        <v>0.4559471365638766</v>
      </c>
    </row>
    <row r="557">
      <c r="A557" s="6" t="inlineStr">
        <is>
          <t>2025-06</t>
        </is>
      </c>
      <c r="B557" s="6" t="inlineStr">
        <is>
          <t>训练服饰</t>
        </is>
      </c>
      <c r="C557" s="6" t="inlineStr">
        <is>
          <t>西部</t>
        </is>
      </c>
      <c r="D557" s="6" t="inlineStr">
        <is>
          <t>张伟</t>
        </is>
      </c>
      <c r="E557" s="6" t="inlineStr">
        <is>
          <t>纵横运动</t>
        </is>
      </c>
      <c r="F557" s="7" t="n">
        <v>38800</v>
      </c>
      <c r="G557" s="7" t="n">
        <v>21800</v>
      </c>
      <c r="H557" s="7" t="n">
        <v>17000</v>
      </c>
      <c r="I557" s="8" t="n">
        <v>0.4381443298969072</v>
      </c>
    </row>
    <row r="558">
      <c r="A558" s="6" t="inlineStr">
        <is>
          <t>2025-06</t>
        </is>
      </c>
      <c r="B558" s="6" t="inlineStr">
        <is>
          <t>训练服饰</t>
        </is>
      </c>
      <c r="C558" s="6" t="inlineStr">
        <is>
          <t>西部</t>
        </is>
      </c>
      <c r="D558" s="6" t="inlineStr">
        <is>
          <t>李娜</t>
        </is>
      </c>
      <c r="E558" s="6" t="inlineStr">
        <is>
          <t>动能营养</t>
        </is>
      </c>
      <c r="F558" s="7" t="n">
        <v>36100</v>
      </c>
      <c r="G558" s="7" t="n">
        <v>20100</v>
      </c>
      <c r="H558" s="7" t="n">
        <v>16000</v>
      </c>
      <c r="I558" s="8" t="n">
        <v>0.443213296398892</v>
      </c>
    </row>
    <row r="559">
      <c r="A559" s="6" t="inlineStr">
        <is>
          <t>2025-06</t>
        </is>
      </c>
      <c r="B559" s="6" t="inlineStr">
        <is>
          <t>训练服饰</t>
        </is>
      </c>
      <c r="C559" s="6" t="inlineStr">
        <is>
          <t>西部</t>
        </is>
      </c>
      <c r="D559" s="6" t="inlineStr">
        <is>
          <t>王芳</t>
        </is>
      </c>
      <c r="E559" s="6" t="inlineStr">
        <is>
          <t>腾飞体育用品</t>
        </is>
      </c>
      <c r="F559" s="7" t="n">
        <v>31800</v>
      </c>
      <c r="G559" s="7" t="n">
        <v>17200</v>
      </c>
      <c r="H559" s="7" t="n">
        <v>14600</v>
      </c>
      <c r="I559" s="8" t="n">
        <v>0.4591194968553459</v>
      </c>
    </row>
    <row r="560">
      <c r="A560" s="6" t="inlineStr">
        <is>
          <t>2025-06</t>
        </is>
      </c>
      <c r="B560" s="6" t="inlineStr">
        <is>
          <t>训练服饰</t>
        </is>
      </c>
      <c r="C560" s="6" t="inlineStr">
        <is>
          <t>西部</t>
        </is>
      </c>
      <c r="D560" s="6" t="inlineStr">
        <is>
          <t>刘强</t>
        </is>
      </c>
      <c r="E560" s="6" t="inlineStr">
        <is>
          <t>超能体育</t>
        </is>
      </c>
      <c r="F560" s="7" t="n">
        <v>34000</v>
      </c>
      <c r="G560" s="7" t="n">
        <v>19400</v>
      </c>
      <c r="H560" s="7" t="n">
        <v>14600</v>
      </c>
      <c r="I560" s="8" t="n">
        <v>0.4294117647058823</v>
      </c>
    </row>
    <row r="561">
      <c r="A561" s="6" t="inlineStr">
        <is>
          <t>2025-06</t>
        </is>
      </c>
      <c r="B561" s="6" t="inlineStr">
        <is>
          <t>训练服饰</t>
        </is>
      </c>
      <c r="C561" s="6" t="inlineStr">
        <is>
          <t>西部</t>
        </is>
      </c>
      <c r="D561" s="6" t="inlineStr">
        <is>
          <t>陈静</t>
        </is>
      </c>
      <c r="E561" s="6" t="inlineStr">
        <is>
          <t>活力无限健身</t>
        </is>
      </c>
      <c r="F561" s="7" t="n">
        <v>38300</v>
      </c>
      <c r="G561" s="7" t="n">
        <v>21100</v>
      </c>
      <c r="H561" s="7" t="n">
        <v>17200</v>
      </c>
      <c r="I561" s="8" t="n">
        <v>0.4490861618798956</v>
      </c>
    </row>
    <row r="562">
      <c r="A562" s="6" t="inlineStr">
        <is>
          <t>2025-06</t>
        </is>
      </c>
      <c r="B562" s="6" t="inlineStr">
        <is>
          <t>营养补给</t>
        </is>
      </c>
      <c r="C562" s="6" t="inlineStr">
        <is>
          <t>华东</t>
        </is>
      </c>
      <c r="D562" s="6" t="inlineStr">
        <is>
          <t>张伟</t>
        </is>
      </c>
      <c r="E562" s="6" t="inlineStr">
        <is>
          <t>卓越体能训练营</t>
        </is>
      </c>
      <c r="F562" s="7" t="n">
        <v>88000</v>
      </c>
      <c r="G562" s="7" t="n">
        <v>64400</v>
      </c>
      <c r="H562" s="7" t="n">
        <v>23600</v>
      </c>
      <c r="I562" s="8" t="n">
        <v>0.2681818181818182</v>
      </c>
    </row>
    <row r="563">
      <c r="A563" s="6" t="inlineStr">
        <is>
          <t>2025-06</t>
        </is>
      </c>
      <c r="B563" s="6" t="inlineStr">
        <is>
          <t>营养补给</t>
        </is>
      </c>
      <c r="C563" s="6" t="inlineStr">
        <is>
          <t>华东</t>
        </is>
      </c>
      <c r="D563" s="6" t="inlineStr">
        <is>
          <t>李娜</t>
        </is>
      </c>
      <c r="E563" s="6" t="inlineStr">
        <is>
          <t>星跃体育</t>
        </is>
      </c>
      <c r="F563" s="7" t="n">
        <v>77000</v>
      </c>
      <c r="G563" s="7" t="n">
        <v>59900</v>
      </c>
      <c r="H563" s="7" t="n">
        <v>17100</v>
      </c>
      <c r="I563" s="8" t="n">
        <v>0.2220779220779221</v>
      </c>
    </row>
    <row r="564">
      <c r="A564" s="6" t="inlineStr">
        <is>
          <t>2025-06</t>
        </is>
      </c>
      <c r="B564" s="6" t="inlineStr">
        <is>
          <t>营养补给</t>
        </is>
      </c>
      <c r="C564" s="6" t="inlineStr">
        <is>
          <t>华东</t>
        </is>
      </c>
      <c r="D564" s="6" t="inlineStr">
        <is>
          <t>王芳</t>
        </is>
      </c>
      <c r="E564" s="6" t="inlineStr">
        <is>
          <t>锋行体育</t>
        </is>
      </c>
      <c r="F564" s="7" t="n">
        <v>79200</v>
      </c>
      <c r="G564" s="7" t="n">
        <v>58600</v>
      </c>
      <c r="H564" s="7" t="n">
        <v>20600</v>
      </c>
      <c r="I564" s="8" t="n">
        <v>0.2601010101010101</v>
      </c>
    </row>
    <row r="565">
      <c r="A565" s="6" t="inlineStr">
        <is>
          <t>2025-06</t>
        </is>
      </c>
      <c r="B565" s="6" t="inlineStr">
        <is>
          <t>营养补给</t>
        </is>
      </c>
      <c r="C565" s="6" t="inlineStr">
        <is>
          <t>华东</t>
        </is>
      </c>
      <c r="D565" s="6" t="inlineStr">
        <is>
          <t>刘强</t>
        </is>
      </c>
      <c r="E565" s="6" t="inlineStr">
        <is>
          <t>恒康营养</t>
        </is>
      </c>
      <c r="F565" s="7" t="n">
        <v>71700</v>
      </c>
      <c r="G565" s="7" t="n">
        <v>51800</v>
      </c>
      <c r="H565" s="7" t="n">
        <v>19900</v>
      </c>
      <c r="I565" s="8" t="n">
        <v>0.2775453277545328</v>
      </c>
    </row>
    <row r="566">
      <c r="A566" s="6" t="inlineStr">
        <is>
          <t>2025-06</t>
        </is>
      </c>
      <c r="B566" s="6" t="inlineStr">
        <is>
          <t>营养补给</t>
        </is>
      </c>
      <c r="C566" s="6" t="inlineStr">
        <is>
          <t>华东</t>
        </is>
      </c>
      <c r="D566" s="6" t="inlineStr">
        <is>
          <t>陈静</t>
        </is>
      </c>
      <c r="E566" s="6" t="inlineStr">
        <is>
          <t>强体体育</t>
        </is>
      </c>
      <c r="F566" s="7" t="n">
        <v>76400</v>
      </c>
      <c r="G566" s="7" t="n">
        <v>57000</v>
      </c>
      <c r="H566" s="7" t="n">
        <v>19400</v>
      </c>
      <c r="I566" s="8" t="n">
        <v>0.2539267015706806</v>
      </c>
    </row>
    <row r="567">
      <c r="A567" s="6" t="inlineStr">
        <is>
          <t>2025-06</t>
        </is>
      </c>
      <c r="B567" s="6" t="inlineStr">
        <is>
          <t>营养补给</t>
        </is>
      </c>
      <c r="C567" s="6" t="inlineStr">
        <is>
          <t>华北</t>
        </is>
      </c>
      <c r="D567" s="6" t="inlineStr">
        <is>
          <t>张伟</t>
        </is>
      </c>
      <c r="E567" s="6" t="inlineStr">
        <is>
          <t>乐动体育</t>
        </is>
      </c>
      <c r="F567" s="7" t="n">
        <v>59000</v>
      </c>
      <c r="G567" s="7" t="n">
        <v>45900</v>
      </c>
      <c r="H567" s="7" t="n">
        <v>13100</v>
      </c>
      <c r="I567" s="8" t="n">
        <v>0.2220338983050847</v>
      </c>
    </row>
    <row r="568">
      <c r="A568" s="6" t="inlineStr">
        <is>
          <t>2025-06</t>
        </is>
      </c>
      <c r="B568" s="6" t="inlineStr">
        <is>
          <t>营养补给</t>
        </is>
      </c>
      <c r="C568" s="6" t="inlineStr">
        <is>
          <t>华北</t>
        </is>
      </c>
      <c r="D568" s="6" t="inlineStr">
        <is>
          <t>李娜</t>
        </is>
      </c>
      <c r="E568" s="6" t="inlineStr">
        <is>
          <t>恒康营养</t>
        </is>
      </c>
      <c r="F568" s="7" t="n">
        <v>55600</v>
      </c>
      <c r="G568" s="7" t="n">
        <v>40500</v>
      </c>
      <c r="H568" s="7" t="n">
        <v>15100</v>
      </c>
      <c r="I568" s="8" t="n">
        <v>0.2715827338129496</v>
      </c>
    </row>
    <row r="569">
      <c r="A569" s="6" t="inlineStr">
        <is>
          <t>2025-06</t>
        </is>
      </c>
      <c r="B569" s="6" t="inlineStr">
        <is>
          <t>营养补给</t>
        </is>
      </c>
      <c r="C569" s="6" t="inlineStr">
        <is>
          <t>华北</t>
        </is>
      </c>
      <c r="D569" s="6" t="inlineStr">
        <is>
          <t>王芳</t>
        </is>
      </c>
      <c r="E569" s="6" t="inlineStr">
        <is>
          <t>童行运动馆</t>
        </is>
      </c>
      <c r="F569" s="7" t="n">
        <v>75000</v>
      </c>
      <c r="G569" s="7" t="n">
        <v>55600</v>
      </c>
      <c r="H569" s="7" t="n">
        <v>19400</v>
      </c>
      <c r="I569" s="8" t="n">
        <v>0.2586666666666667</v>
      </c>
    </row>
    <row r="570">
      <c r="A570" s="6" t="inlineStr">
        <is>
          <t>2025-06</t>
        </is>
      </c>
      <c r="B570" s="6" t="inlineStr">
        <is>
          <t>营养补给</t>
        </is>
      </c>
      <c r="C570" s="6" t="inlineStr">
        <is>
          <t>华北</t>
        </is>
      </c>
      <c r="D570" s="6" t="inlineStr">
        <is>
          <t>刘强</t>
        </is>
      </c>
      <c r="E570" s="6" t="inlineStr">
        <is>
          <t>童行运动馆</t>
        </is>
      </c>
      <c r="F570" s="7" t="n">
        <v>59000</v>
      </c>
      <c r="G570" s="7" t="n">
        <v>43800</v>
      </c>
      <c r="H570" s="7" t="n">
        <v>15200</v>
      </c>
      <c r="I570" s="8" t="n">
        <v>0.2576271186440678</v>
      </c>
    </row>
    <row r="571">
      <c r="A571" s="6" t="inlineStr">
        <is>
          <t>2025-06</t>
        </is>
      </c>
      <c r="B571" s="6" t="inlineStr">
        <is>
          <t>营养补给</t>
        </is>
      </c>
      <c r="C571" s="6" t="inlineStr">
        <is>
          <t>华北</t>
        </is>
      </c>
      <c r="D571" s="6" t="inlineStr">
        <is>
          <t>陈静</t>
        </is>
      </c>
      <c r="E571" s="6" t="inlineStr">
        <is>
          <t>茁长少儿体适能</t>
        </is>
      </c>
      <c r="F571" s="7" t="n">
        <v>53300</v>
      </c>
      <c r="G571" s="7" t="n">
        <v>41000</v>
      </c>
      <c r="H571" s="7" t="n">
        <v>12300</v>
      </c>
      <c r="I571" s="8" t="n">
        <v>0.2307692307692308</v>
      </c>
    </row>
    <row r="572">
      <c r="A572" s="6" t="inlineStr">
        <is>
          <t>2025-06</t>
        </is>
      </c>
      <c r="B572" s="6" t="inlineStr">
        <is>
          <t>营养补给</t>
        </is>
      </c>
      <c r="C572" s="6" t="inlineStr">
        <is>
          <t>华南</t>
        </is>
      </c>
      <c r="D572" s="6" t="inlineStr">
        <is>
          <t>张伟</t>
        </is>
      </c>
      <c r="E572" s="6" t="inlineStr">
        <is>
          <t>迈步体育</t>
        </is>
      </c>
      <c r="F572" s="7" t="n">
        <v>66600</v>
      </c>
      <c r="G572" s="7" t="n">
        <v>48400</v>
      </c>
      <c r="H572" s="7" t="n">
        <v>18200</v>
      </c>
      <c r="I572" s="8" t="n">
        <v>0.2732732732732733</v>
      </c>
    </row>
    <row r="573">
      <c r="A573" s="6" t="inlineStr">
        <is>
          <t>2025-06</t>
        </is>
      </c>
      <c r="B573" s="6" t="inlineStr">
        <is>
          <t>营养补给</t>
        </is>
      </c>
      <c r="C573" s="6" t="inlineStr">
        <is>
          <t>华南</t>
        </is>
      </c>
      <c r="D573" s="6" t="inlineStr">
        <is>
          <t>李娜</t>
        </is>
      </c>
      <c r="E573" s="6" t="inlineStr">
        <is>
          <t>冠军之路俱乐部</t>
        </is>
      </c>
      <c r="F573" s="7" t="n">
        <v>63800</v>
      </c>
      <c r="G573" s="7" t="n">
        <v>48500</v>
      </c>
      <c r="H573" s="7" t="n">
        <v>15300</v>
      </c>
      <c r="I573" s="8" t="n">
        <v>0.2398119122257053</v>
      </c>
    </row>
    <row r="574">
      <c r="A574" s="6" t="inlineStr">
        <is>
          <t>2025-06</t>
        </is>
      </c>
      <c r="B574" s="6" t="inlineStr">
        <is>
          <t>营养补给</t>
        </is>
      </c>
      <c r="C574" s="6" t="inlineStr">
        <is>
          <t>华南</t>
        </is>
      </c>
      <c r="D574" s="6" t="inlineStr">
        <is>
          <t>王芳</t>
        </is>
      </c>
      <c r="E574" s="6" t="inlineStr">
        <is>
          <t>风尚健身</t>
        </is>
      </c>
      <c r="F574" s="7" t="n">
        <v>70200</v>
      </c>
      <c r="G574" s="7" t="n">
        <v>54000</v>
      </c>
      <c r="H574" s="7" t="n">
        <v>16200</v>
      </c>
      <c r="I574" s="8" t="n">
        <v>0.2307692307692308</v>
      </c>
    </row>
    <row r="575">
      <c r="A575" s="6" t="inlineStr">
        <is>
          <t>2025-06</t>
        </is>
      </c>
      <c r="B575" s="6" t="inlineStr">
        <is>
          <t>营养补给</t>
        </is>
      </c>
      <c r="C575" s="6" t="inlineStr">
        <is>
          <t>华南</t>
        </is>
      </c>
      <c r="D575" s="6" t="inlineStr">
        <is>
          <t>刘强</t>
        </is>
      </c>
      <c r="E575" s="6" t="inlineStr">
        <is>
          <t>健将体育</t>
        </is>
      </c>
      <c r="F575" s="7" t="n">
        <v>72200</v>
      </c>
      <c r="G575" s="7" t="n">
        <v>53000</v>
      </c>
      <c r="H575" s="7" t="n">
        <v>19200</v>
      </c>
      <c r="I575" s="8" t="n">
        <v>0.2659279778393352</v>
      </c>
    </row>
    <row r="576">
      <c r="A576" s="6" t="inlineStr">
        <is>
          <t>2025-06</t>
        </is>
      </c>
      <c r="B576" s="6" t="inlineStr">
        <is>
          <t>营养补给</t>
        </is>
      </c>
      <c r="C576" s="6" t="inlineStr">
        <is>
          <t>华南</t>
        </is>
      </c>
      <c r="D576" s="6" t="inlineStr">
        <is>
          <t>陈静</t>
        </is>
      </c>
      <c r="E576" s="6" t="inlineStr">
        <is>
          <t>迈步体育</t>
        </is>
      </c>
      <c r="F576" s="7" t="n">
        <v>76100</v>
      </c>
      <c r="G576" s="7" t="n">
        <v>55800</v>
      </c>
      <c r="H576" s="7" t="n">
        <v>20300</v>
      </c>
      <c r="I576" s="8" t="n">
        <v>0.266754270696452</v>
      </c>
    </row>
    <row r="577">
      <c r="A577" s="6" t="inlineStr">
        <is>
          <t>2025-06</t>
        </is>
      </c>
      <c r="B577" s="6" t="inlineStr">
        <is>
          <t>营养补给</t>
        </is>
      </c>
      <c r="C577" s="6" t="inlineStr">
        <is>
          <t>西部</t>
        </is>
      </c>
      <c r="D577" s="6" t="inlineStr">
        <is>
          <t>张伟</t>
        </is>
      </c>
      <c r="E577" s="6" t="inlineStr">
        <is>
          <t>锐动体育用品</t>
        </is>
      </c>
      <c r="F577" s="7" t="n">
        <v>49700</v>
      </c>
      <c r="G577" s="7" t="n">
        <v>36600</v>
      </c>
      <c r="H577" s="7" t="n">
        <v>13100</v>
      </c>
      <c r="I577" s="8" t="n">
        <v>0.2635814889336016</v>
      </c>
    </row>
    <row r="578">
      <c r="A578" s="6" t="inlineStr">
        <is>
          <t>2025-06</t>
        </is>
      </c>
      <c r="B578" s="6" t="inlineStr">
        <is>
          <t>营养补给</t>
        </is>
      </c>
      <c r="C578" s="6" t="inlineStr">
        <is>
          <t>西部</t>
        </is>
      </c>
      <c r="D578" s="6" t="inlineStr">
        <is>
          <t>李娜</t>
        </is>
      </c>
      <c r="E578" s="6" t="inlineStr">
        <is>
          <t>锋行体育</t>
        </is>
      </c>
      <c r="F578" s="7" t="n">
        <v>44200</v>
      </c>
      <c r="G578" s="7" t="n">
        <v>33500</v>
      </c>
      <c r="H578" s="7" t="n">
        <v>10700</v>
      </c>
      <c r="I578" s="8" t="n">
        <v>0.2420814479638009</v>
      </c>
    </row>
    <row r="579">
      <c r="A579" s="6" t="inlineStr">
        <is>
          <t>2025-06</t>
        </is>
      </c>
      <c r="B579" s="6" t="inlineStr">
        <is>
          <t>营养补给</t>
        </is>
      </c>
      <c r="C579" s="6" t="inlineStr">
        <is>
          <t>西部</t>
        </is>
      </c>
      <c r="D579" s="6" t="inlineStr">
        <is>
          <t>王芳</t>
        </is>
      </c>
      <c r="E579" s="6" t="inlineStr">
        <is>
          <t>冠军之路俱乐部</t>
        </is>
      </c>
      <c r="F579" s="7" t="n">
        <v>40100</v>
      </c>
      <c r="G579" s="7" t="n">
        <v>30900</v>
      </c>
      <c r="H579" s="7" t="n">
        <v>9200</v>
      </c>
      <c r="I579" s="8" t="n">
        <v>0.229426433915212</v>
      </c>
    </row>
    <row r="580">
      <c r="A580" s="6" t="inlineStr">
        <is>
          <t>2025-06</t>
        </is>
      </c>
      <c r="B580" s="6" t="inlineStr">
        <is>
          <t>营养补给</t>
        </is>
      </c>
      <c r="C580" s="6" t="inlineStr">
        <is>
          <t>西部</t>
        </is>
      </c>
      <c r="D580" s="6" t="inlineStr">
        <is>
          <t>刘强</t>
        </is>
      </c>
      <c r="E580" s="6" t="inlineStr">
        <is>
          <t>悍将运动</t>
        </is>
      </c>
      <c r="F580" s="7" t="n">
        <v>39200</v>
      </c>
      <c r="G580" s="7" t="n">
        <v>30000</v>
      </c>
      <c r="H580" s="7" t="n">
        <v>9200</v>
      </c>
      <c r="I580" s="8" t="n">
        <v>0.2346938775510204</v>
      </c>
    </row>
    <row r="581">
      <c r="A581" s="6" t="inlineStr">
        <is>
          <t>2025-06</t>
        </is>
      </c>
      <c r="B581" s="6" t="inlineStr">
        <is>
          <t>营养补给</t>
        </is>
      </c>
      <c r="C581" s="6" t="inlineStr">
        <is>
          <t>西部</t>
        </is>
      </c>
      <c r="D581" s="6" t="inlineStr">
        <is>
          <t>陈静</t>
        </is>
      </c>
      <c r="E581" s="6" t="inlineStr">
        <is>
          <t>纵横运动</t>
        </is>
      </c>
      <c r="F581" s="7" t="n">
        <v>44900</v>
      </c>
      <c r="G581" s="7" t="n">
        <v>34300</v>
      </c>
      <c r="H581" s="7" t="n">
        <v>10600</v>
      </c>
      <c r="I581" s="8" t="n">
        <v>0.2360801781737194</v>
      </c>
    </row>
    <row r="582">
      <c r="A582" s="6" t="inlineStr">
        <is>
          <t>2025-06</t>
        </is>
      </c>
      <c r="B582" s="6" t="inlineStr">
        <is>
          <t>智能穿戴</t>
        </is>
      </c>
      <c r="C582" s="6" t="inlineStr">
        <is>
          <t>华东</t>
        </is>
      </c>
      <c r="D582" s="6" t="inlineStr">
        <is>
          <t>张伟</t>
        </is>
      </c>
      <c r="E582" s="6" t="inlineStr">
        <is>
          <t>锐健身工作室</t>
        </is>
      </c>
      <c r="F582" s="7" t="n">
        <v>117900</v>
      </c>
      <c r="G582" s="7" t="n">
        <v>76600</v>
      </c>
      <c r="H582" s="7" t="n">
        <v>41300</v>
      </c>
      <c r="I582" s="8" t="n">
        <v>0.3502968617472434</v>
      </c>
    </row>
    <row r="583">
      <c r="A583" s="6" t="inlineStr">
        <is>
          <t>2025-06</t>
        </is>
      </c>
      <c r="B583" s="6" t="inlineStr">
        <is>
          <t>智能穿戴</t>
        </is>
      </c>
      <c r="C583" s="6" t="inlineStr">
        <is>
          <t>华东</t>
        </is>
      </c>
      <c r="D583" s="6" t="inlineStr">
        <is>
          <t>李娜</t>
        </is>
      </c>
      <c r="E583" s="6" t="inlineStr">
        <is>
          <t>星跃体育</t>
        </is>
      </c>
      <c r="F583" s="7" t="n">
        <v>120100</v>
      </c>
      <c r="G583" s="7" t="n">
        <v>74700</v>
      </c>
      <c r="H583" s="7" t="n">
        <v>45400</v>
      </c>
      <c r="I583" s="8" t="n">
        <v>0.3780183180682765</v>
      </c>
    </row>
    <row r="584">
      <c r="A584" s="6" t="inlineStr">
        <is>
          <t>2025-06</t>
        </is>
      </c>
      <c r="B584" s="6" t="inlineStr">
        <is>
          <t>智能穿戴</t>
        </is>
      </c>
      <c r="C584" s="6" t="inlineStr">
        <is>
          <t>华东</t>
        </is>
      </c>
      <c r="D584" s="6" t="inlineStr">
        <is>
          <t>王芳</t>
        </is>
      </c>
      <c r="E584" s="6" t="inlineStr">
        <is>
          <t>风尚健身</t>
        </is>
      </c>
      <c r="F584" s="7" t="n">
        <v>126500</v>
      </c>
      <c r="G584" s="7" t="n">
        <v>78300</v>
      </c>
      <c r="H584" s="7" t="n">
        <v>48200</v>
      </c>
      <c r="I584" s="8" t="n">
        <v>0.3810276679841897</v>
      </c>
    </row>
    <row r="585">
      <c r="A585" s="6" t="inlineStr">
        <is>
          <t>2025-06</t>
        </is>
      </c>
      <c r="B585" s="6" t="inlineStr">
        <is>
          <t>智能穿戴</t>
        </is>
      </c>
      <c r="C585" s="6" t="inlineStr">
        <is>
          <t>华东</t>
        </is>
      </c>
      <c r="D585" s="6" t="inlineStr">
        <is>
          <t>刘强</t>
        </is>
      </c>
      <c r="E585" s="6" t="inlineStr">
        <is>
          <t>恒康营养</t>
        </is>
      </c>
      <c r="F585" s="7" t="n">
        <v>91700</v>
      </c>
      <c r="G585" s="7" t="n">
        <v>56600</v>
      </c>
      <c r="H585" s="7" t="n">
        <v>35100</v>
      </c>
      <c r="I585" s="8" t="n">
        <v>0.3827699018538713</v>
      </c>
    </row>
    <row r="586">
      <c r="A586" s="6" t="inlineStr">
        <is>
          <t>2025-06</t>
        </is>
      </c>
      <c r="B586" s="6" t="inlineStr">
        <is>
          <t>智能穿戴</t>
        </is>
      </c>
      <c r="C586" s="6" t="inlineStr">
        <is>
          <t>华东</t>
        </is>
      </c>
      <c r="D586" s="6" t="inlineStr">
        <is>
          <t>陈静</t>
        </is>
      </c>
      <c r="E586" s="6" t="inlineStr">
        <is>
          <t>锐健身工作室</t>
        </is>
      </c>
      <c r="F586" s="7" t="n">
        <v>99800</v>
      </c>
      <c r="G586" s="7" t="n">
        <v>60000</v>
      </c>
      <c r="H586" s="7" t="n">
        <v>39800</v>
      </c>
      <c r="I586" s="8" t="n">
        <v>0.3987975951903808</v>
      </c>
    </row>
    <row r="587">
      <c r="A587" s="6" t="inlineStr">
        <is>
          <t>2025-06</t>
        </is>
      </c>
      <c r="B587" s="6" t="inlineStr">
        <is>
          <t>智能穿戴</t>
        </is>
      </c>
      <c r="C587" s="6" t="inlineStr">
        <is>
          <t>华北</t>
        </is>
      </c>
      <c r="D587" s="6" t="inlineStr">
        <is>
          <t>张伟</t>
        </is>
      </c>
      <c r="E587" s="6" t="inlineStr">
        <is>
          <t>童行运动馆</t>
        </is>
      </c>
      <c r="F587" s="7" t="n">
        <v>85100</v>
      </c>
      <c r="G587" s="7" t="n">
        <v>53600</v>
      </c>
      <c r="H587" s="7" t="n">
        <v>31500</v>
      </c>
      <c r="I587" s="8" t="n">
        <v>0.3701527614571093</v>
      </c>
    </row>
    <row r="588">
      <c r="A588" s="6" t="inlineStr">
        <is>
          <t>2025-06</t>
        </is>
      </c>
      <c r="B588" s="6" t="inlineStr">
        <is>
          <t>智能穿戴</t>
        </is>
      </c>
      <c r="C588" s="6" t="inlineStr">
        <is>
          <t>华北</t>
        </is>
      </c>
      <c r="D588" s="6" t="inlineStr">
        <is>
          <t>李娜</t>
        </is>
      </c>
      <c r="E588" s="6" t="inlineStr">
        <is>
          <t>超能体育</t>
        </is>
      </c>
      <c r="F588" s="7" t="n">
        <v>89600</v>
      </c>
      <c r="G588" s="7" t="n">
        <v>57600</v>
      </c>
      <c r="H588" s="7" t="n">
        <v>32000</v>
      </c>
      <c r="I588" s="8" t="n">
        <v>0.3571428571428572</v>
      </c>
    </row>
    <row r="589">
      <c r="A589" s="6" t="inlineStr">
        <is>
          <t>2025-06</t>
        </is>
      </c>
      <c r="B589" s="6" t="inlineStr">
        <is>
          <t>智能穿戴</t>
        </is>
      </c>
      <c r="C589" s="6" t="inlineStr">
        <is>
          <t>华北</t>
        </is>
      </c>
      <c r="D589" s="6" t="inlineStr">
        <is>
          <t>王芳</t>
        </is>
      </c>
      <c r="E589" s="6" t="inlineStr">
        <is>
          <t>锋行体育</t>
        </is>
      </c>
      <c r="F589" s="7" t="n">
        <v>88100</v>
      </c>
      <c r="G589" s="7" t="n">
        <v>57200</v>
      </c>
      <c r="H589" s="7" t="n">
        <v>30900</v>
      </c>
      <c r="I589" s="8" t="n">
        <v>0.3507377979568672</v>
      </c>
    </row>
    <row r="590">
      <c r="A590" s="6" t="inlineStr">
        <is>
          <t>2025-06</t>
        </is>
      </c>
      <c r="B590" s="6" t="inlineStr">
        <is>
          <t>智能穿戴</t>
        </is>
      </c>
      <c r="C590" s="6" t="inlineStr">
        <is>
          <t>华北</t>
        </is>
      </c>
      <c r="D590" s="6" t="inlineStr">
        <is>
          <t>刘强</t>
        </is>
      </c>
      <c r="E590" s="6" t="inlineStr">
        <is>
          <t>阳光体能</t>
        </is>
      </c>
      <c r="F590" s="7" t="n">
        <v>83200</v>
      </c>
      <c r="G590" s="7" t="n">
        <v>53700</v>
      </c>
      <c r="H590" s="7" t="n">
        <v>29500</v>
      </c>
      <c r="I590" s="8" t="n">
        <v>0.3545673076923077</v>
      </c>
    </row>
    <row r="591">
      <c r="A591" s="6" t="inlineStr">
        <is>
          <t>2025-06</t>
        </is>
      </c>
      <c r="B591" s="6" t="inlineStr">
        <is>
          <t>智能穿戴</t>
        </is>
      </c>
      <c r="C591" s="6" t="inlineStr">
        <is>
          <t>华北</t>
        </is>
      </c>
      <c r="D591" s="6" t="inlineStr">
        <is>
          <t>陈静</t>
        </is>
      </c>
      <c r="E591" s="6" t="inlineStr">
        <is>
          <t>天天向上健身</t>
        </is>
      </c>
      <c r="F591" s="7" t="n">
        <v>80800</v>
      </c>
      <c r="G591" s="7" t="n">
        <v>48300</v>
      </c>
      <c r="H591" s="7" t="n">
        <v>32500</v>
      </c>
      <c r="I591" s="8" t="n">
        <v>0.4022277227722773</v>
      </c>
    </row>
    <row r="592">
      <c r="A592" s="6" t="inlineStr">
        <is>
          <t>2025-06</t>
        </is>
      </c>
      <c r="B592" s="6" t="inlineStr">
        <is>
          <t>智能穿戴</t>
        </is>
      </c>
      <c r="C592" s="6" t="inlineStr">
        <is>
          <t>华南</t>
        </is>
      </c>
      <c r="D592" s="6" t="inlineStr">
        <is>
          <t>张伟</t>
        </is>
      </c>
      <c r="E592" s="6" t="inlineStr">
        <is>
          <t>篮途体育文化</t>
        </is>
      </c>
      <c r="F592" s="7" t="n">
        <v>89500</v>
      </c>
      <c r="G592" s="7" t="n">
        <v>54000</v>
      </c>
      <c r="H592" s="7" t="n">
        <v>35500</v>
      </c>
      <c r="I592" s="8" t="n">
        <v>0.3966480446927375</v>
      </c>
    </row>
    <row r="593">
      <c r="A593" s="6" t="inlineStr">
        <is>
          <t>2025-06</t>
        </is>
      </c>
      <c r="B593" s="6" t="inlineStr">
        <is>
          <t>智能穿戴</t>
        </is>
      </c>
      <c r="C593" s="6" t="inlineStr">
        <is>
          <t>华南</t>
        </is>
      </c>
      <c r="D593" s="6" t="inlineStr">
        <is>
          <t>李娜</t>
        </is>
      </c>
      <c r="E593" s="6" t="inlineStr">
        <is>
          <t>巅峰运动</t>
        </is>
      </c>
      <c r="F593" s="7" t="n">
        <v>107100</v>
      </c>
      <c r="G593" s="7" t="n">
        <v>67000</v>
      </c>
      <c r="H593" s="7" t="n">
        <v>40100</v>
      </c>
      <c r="I593" s="8" t="n">
        <v>0.3744164332399627</v>
      </c>
    </row>
    <row r="594">
      <c r="A594" s="6" t="inlineStr">
        <is>
          <t>2025-06</t>
        </is>
      </c>
      <c r="B594" s="6" t="inlineStr">
        <is>
          <t>智能穿戴</t>
        </is>
      </c>
      <c r="C594" s="6" t="inlineStr">
        <is>
          <t>华南</t>
        </is>
      </c>
      <c r="D594" s="6" t="inlineStr">
        <is>
          <t>王芳</t>
        </is>
      </c>
      <c r="E594" s="6" t="inlineStr">
        <is>
          <t>童行运动馆</t>
        </is>
      </c>
      <c r="F594" s="7" t="n">
        <v>91700</v>
      </c>
      <c r="G594" s="7" t="n">
        <v>59300</v>
      </c>
      <c r="H594" s="7" t="n">
        <v>32400</v>
      </c>
      <c r="I594" s="8" t="n">
        <v>0.3533260632497274</v>
      </c>
    </row>
    <row r="595">
      <c r="A595" s="6" t="inlineStr">
        <is>
          <t>2025-06</t>
        </is>
      </c>
      <c r="B595" s="6" t="inlineStr">
        <is>
          <t>智能穿戴</t>
        </is>
      </c>
      <c r="C595" s="6" t="inlineStr">
        <is>
          <t>华南</t>
        </is>
      </c>
      <c r="D595" s="6" t="inlineStr">
        <is>
          <t>刘强</t>
        </is>
      </c>
      <c r="E595" s="6" t="inlineStr">
        <is>
          <t>雷霆篮球</t>
        </is>
      </c>
      <c r="F595" s="7" t="n">
        <v>101800</v>
      </c>
      <c r="G595" s="7" t="n">
        <v>62800</v>
      </c>
      <c r="H595" s="7" t="n">
        <v>39000</v>
      </c>
      <c r="I595" s="8" t="n">
        <v>0.3831041257367387</v>
      </c>
    </row>
    <row r="596">
      <c r="A596" s="6" t="inlineStr">
        <is>
          <t>2025-06</t>
        </is>
      </c>
      <c r="B596" s="6" t="inlineStr">
        <is>
          <t>智能穿戴</t>
        </is>
      </c>
      <c r="C596" s="6" t="inlineStr">
        <is>
          <t>华南</t>
        </is>
      </c>
      <c r="D596" s="6" t="inlineStr">
        <is>
          <t>陈静</t>
        </is>
      </c>
      <c r="E596" s="6" t="inlineStr">
        <is>
          <t>康威运动商城</t>
        </is>
      </c>
      <c r="F596" s="7" t="n">
        <v>87900</v>
      </c>
      <c r="G596" s="7" t="n">
        <v>53500</v>
      </c>
      <c r="H596" s="7" t="n">
        <v>34400</v>
      </c>
      <c r="I596" s="8" t="n">
        <v>0.391353811149033</v>
      </c>
    </row>
    <row r="597">
      <c r="A597" s="6" t="inlineStr">
        <is>
          <t>2025-06</t>
        </is>
      </c>
      <c r="B597" s="6" t="inlineStr">
        <is>
          <t>智能穿戴</t>
        </is>
      </c>
      <c r="C597" s="6" t="inlineStr">
        <is>
          <t>西部</t>
        </is>
      </c>
      <c r="D597" s="6" t="inlineStr">
        <is>
          <t>张伟</t>
        </is>
      </c>
      <c r="E597" s="6" t="inlineStr">
        <is>
          <t>强体体育</t>
        </is>
      </c>
      <c r="F597" s="7" t="n">
        <v>63400</v>
      </c>
      <c r="G597" s="7" t="n">
        <v>38000</v>
      </c>
      <c r="H597" s="7" t="n">
        <v>25400</v>
      </c>
      <c r="I597" s="8" t="n">
        <v>0.4006309148264984</v>
      </c>
    </row>
    <row r="598">
      <c r="A598" s="6" t="inlineStr">
        <is>
          <t>2025-06</t>
        </is>
      </c>
      <c r="B598" s="6" t="inlineStr">
        <is>
          <t>智能穿戴</t>
        </is>
      </c>
      <c r="C598" s="6" t="inlineStr">
        <is>
          <t>西部</t>
        </is>
      </c>
      <c r="D598" s="6" t="inlineStr">
        <is>
          <t>李娜</t>
        </is>
      </c>
      <c r="E598" s="6" t="inlineStr">
        <is>
          <t>强体体育</t>
        </is>
      </c>
      <c r="F598" s="7" t="n">
        <v>55100</v>
      </c>
      <c r="G598" s="7" t="n">
        <v>32800</v>
      </c>
      <c r="H598" s="7" t="n">
        <v>22300</v>
      </c>
      <c r="I598" s="8" t="n">
        <v>0.4047186932849365</v>
      </c>
    </row>
    <row r="599">
      <c r="A599" s="6" t="inlineStr">
        <is>
          <t>2025-06</t>
        </is>
      </c>
      <c r="B599" s="6" t="inlineStr">
        <is>
          <t>智能穿戴</t>
        </is>
      </c>
      <c r="C599" s="6" t="inlineStr">
        <is>
          <t>西部</t>
        </is>
      </c>
      <c r="D599" s="6" t="inlineStr">
        <is>
          <t>王芳</t>
        </is>
      </c>
      <c r="E599" s="6" t="inlineStr">
        <is>
          <t>腾飞体育用品</t>
        </is>
      </c>
      <c r="F599" s="7" t="n">
        <v>65800</v>
      </c>
      <c r="G599" s="7" t="n">
        <v>39800</v>
      </c>
      <c r="H599" s="7" t="n">
        <v>26000</v>
      </c>
      <c r="I599" s="8" t="n">
        <v>0.3951367781155015</v>
      </c>
    </row>
    <row r="600">
      <c r="A600" s="6" t="inlineStr">
        <is>
          <t>2025-06</t>
        </is>
      </c>
      <c r="B600" s="6" t="inlineStr">
        <is>
          <t>智能穿戴</t>
        </is>
      </c>
      <c r="C600" s="6" t="inlineStr">
        <is>
          <t>西部</t>
        </is>
      </c>
      <c r="D600" s="6" t="inlineStr">
        <is>
          <t>刘强</t>
        </is>
      </c>
      <c r="E600" s="6" t="inlineStr">
        <is>
          <t>启航健身中心</t>
        </is>
      </c>
      <c r="F600" s="7" t="n">
        <v>54000</v>
      </c>
      <c r="G600" s="7" t="n">
        <v>34100</v>
      </c>
      <c r="H600" s="7" t="n">
        <v>19900</v>
      </c>
      <c r="I600" s="8" t="n">
        <v>0.3685185185185185</v>
      </c>
    </row>
    <row r="601">
      <c r="A601" s="6" t="inlineStr">
        <is>
          <t>2025-06</t>
        </is>
      </c>
      <c r="B601" s="6" t="inlineStr">
        <is>
          <t>智能穿戴</t>
        </is>
      </c>
      <c r="C601" s="6" t="inlineStr">
        <is>
          <t>西部</t>
        </is>
      </c>
      <c r="D601" s="6" t="inlineStr">
        <is>
          <t>陈静</t>
        </is>
      </c>
      <c r="E601" s="6" t="inlineStr">
        <is>
          <t>乐动体育</t>
        </is>
      </c>
      <c r="F601" s="7" t="n">
        <v>52900</v>
      </c>
      <c r="G601" s="7" t="n">
        <v>32700</v>
      </c>
      <c r="H601" s="7" t="n">
        <v>20200</v>
      </c>
      <c r="I601" s="8" t="n">
        <v>0.3818525519848771</v>
      </c>
    </row>
    <row r="602">
      <c r="A602" s="6" t="inlineStr">
        <is>
          <t>2025-07</t>
        </is>
      </c>
      <c r="B602" s="6" t="inlineStr">
        <is>
          <t>篮球装备</t>
        </is>
      </c>
      <c r="C602" s="6" t="inlineStr">
        <is>
          <t>华东</t>
        </is>
      </c>
      <c r="D602" s="6" t="inlineStr">
        <is>
          <t>张伟</t>
        </is>
      </c>
      <c r="E602" s="6" t="inlineStr">
        <is>
          <t>冠军之路俱乐部</t>
        </is>
      </c>
      <c r="F602" s="7" t="n">
        <v>103500</v>
      </c>
      <c r="G602" s="7" t="n">
        <v>67100</v>
      </c>
      <c r="H602" s="7" t="n">
        <v>36400</v>
      </c>
      <c r="I602" s="8" t="n">
        <v>0.3516908212560386</v>
      </c>
    </row>
    <row r="603">
      <c r="A603" s="6" t="inlineStr">
        <is>
          <t>2025-07</t>
        </is>
      </c>
      <c r="B603" s="6" t="inlineStr">
        <is>
          <t>篮球装备</t>
        </is>
      </c>
      <c r="C603" s="6" t="inlineStr">
        <is>
          <t>华东</t>
        </is>
      </c>
      <c r="D603" s="6" t="inlineStr">
        <is>
          <t>李娜</t>
        </is>
      </c>
      <c r="E603" s="6" t="inlineStr">
        <is>
          <t>康威运动商城</t>
        </is>
      </c>
      <c r="F603" s="7" t="n">
        <v>100500</v>
      </c>
      <c r="G603" s="7" t="n">
        <v>65000</v>
      </c>
      <c r="H603" s="7" t="n">
        <v>35500</v>
      </c>
      <c r="I603" s="8" t="n">
        <v>0.3532338308457711</v>
      </c>
    </row>
    <row r="604">
      <c r="A604" s="6" t="inlineStr">
        <is>
          <t>2025-07</t>
        </is>
      </c>
      <c r="B604" s="6" t="inlineStr">
        <is>
          <t>篮球装备</t>
        </is>
      </c>
      <c r="C604" s="6" t="inlineStr">
        <is>
          <t>华东</t>
        </is>
      </c>
      <c r="D604" s="6" t="inlineStr">
        <is>
          <t>王芳</t>
        </is>
      </c>
      <c r="E604" s="6" t="inlineStr">
        <is>
          <t>强体体育</t>
        </is>
      </c>
      <c r="F604" s="7" t="n">
        <v>84700</v>
      </c>
      <c r="G604" s="7" t="n">
        <v>56000</v>
      </c>
      <c r="H604" s="7" t="n">
        <v>28700</v>
      </c>
      <c r="I604" s="8" t="n">
        <v>0.3388429752066116</v>
      </c>
    </row>
    <row r="605">
      <c r="A605" s="6" t="inlineStr">
        <is>
          <t>2025-07</t>
        </is>
      </c>
      <c r="B605" s="6" t="inlineStr">
        <is>
          <t>篮球装备</t>
        </is>
      </c>
      <c r="C605" s="6" t="inlineStr">
        <is>
          <t>华东</t>
        </is>
      </c>
      <c r="D605" s="6" t="inlineStr">
        <is>
          <t>刘强</t>
        </is>
      </c>
      <c r="E605" s="6" t="inlineStr">
        <is>
          <t>阳光体能</t>
        </is>
      </c>
      <c r="F605" s="7" t="n">
        <v>95600</v>
      </c>
      <c r="G605" s="7" t="n">
        <v>60300</v>
      </c>
      <c r="H605" s="7" t="n">
        <v>35300</v>
      </c>
      <c r="I605" s="8" t="n">
        <v>0.3692468619246862</v>
      </c>
    </row>
    <row r="606">
      <c r="A606" s="6" t="inlineStr">
        <is>
          <t>2025-07</t>
        </is>
      </c>
      <c r="B606" s="6" t="inlineStr">
        <is>
          <t>篮球装备</t>
        </is>
      </c>
      <c r="C606" s="6" t="inlineStr">
        <is>
          <t>华东</t>
        </is>
      </c>
      <c r="D606" s="6" t="inlineStr">
        <is>
          <t>陈静</t>
        </is>
      </c>
      <c r="E606" s="6" t="inlineStr">
        <is>
          <t>雷霆篮球</t>
        </is>
      </c>
      <c r="F606" s="7" t="n">
        <v>92900</v>
      </c>
      <c r="G606" s="7" t="n">
        <v>61000</v>
      </c>
      <c r="H606" s="7" t="n">
        <v>31900</v>
      </c>
      <c r="I606" s="8" t="n">
        <v>0.3433799784714747</v>
      </c>
    </row>
    <row r="607">
      <c r="A607" s="6" t="inlineStr">
        <is>
          <t>2025-07</t>
        </is>
      </c>
      <c r="B607" s="6" t="inlineStr">
        <is>
          <t>篮球装备</t>
        </is>
      </c>
      <c r="C607" s="6" t="inlineStr">
        <is>
          <t>华北</t>
        </is>
      </c>
      <c r="D607" s="6" t="inlineStr">
        <is>
          <t>张伟</t>
        </is>
      </c>
      <c r="E607" s="6" t="inlineStr">
        <is>
          <t>童行运动馆</t>
        </is>
      </c>
      <c r="F607" s="7" t="n">
        <v>74300</v>
      </c>
      <c r="G607" s="7" t="n">
        <v>48800</v>
      </c>
      <c r="H607" s="7" t="n">
        <v>25500</v>
      </c>
      <c r="I607" s="8" t="n">
        <v>0.3432032301480484</v>
      </c>
    </row>
    <row r="608">
      <c r="A608" s="6" t="inlineStr">
        <is>
          <t>2025-07</t>
        </is>
      </c>
      <c r="B608" s="6" t="inlineStr">
        <is>
          <t>篮球装备</t>
        </is>
      </c>
      <c r="C608" s="6" t="inlineStr">
        <is>
          <t>华北</t>
        </is>
      </c>
      <c r="D608" s="6" t="inlineStr">
        <is>
          <t>李娜</t>
        </is>
      </c>
      <c r="E608" s="6" t="inlineStr">
        <is>
          <t>启航健身中心</t>
        </is>
      </c>
      <c r="F608" s="7" t="n">
        <v>73700</v>
      </c>
      <c r="G608" s="7" t="n">
        <v>48600</v>
      </c>
      <c r="H608" s="7" t="n">
        <v>25100</v>
      </c>
      <c r="I608" s="8" t="n">
        <v>0.3405698778833107</v>
      </c>
    </row>
    <row r="609">
      <c r="A609" s="6" t="inlineStr">
        <is>
          <t>2025-07</t>
        </is>
      </c>
      <c r="B609" s="6" t="inlineStr">
        <is>
          <t>篮球装备</t>
        </is>
      </c>
      <c r="C609" s="6" t="inlineStr">
        <is>
          <t>华北</t>
        </is>
      </c>
      <c r="D609" s="6" t="inlineStr">
        <is>
          <t>王芳</t>
        </is>
      </c>
      <c r="E609" s="6" t="inlineStr">
        <is>
          <t>雷霆篮球</t>
        </is>
      </c>
      <c r="F609" s="7" t="n">
        <v>66100</v>
      </c>
      <c r="G609" s="7" t="n">
        <v>42200</v>
      </c>
      <c r="H609" s="7" t="n">
        <v>23900</v>
      </c>
      <c r="I609" s="8" t="n">
        <v>0.3615733736762481</v>
      </c>
    </row>
    <row r="610">
      <c r="A610" s="6" t="inlineStr">
        <is>
          <t>2025-07</t>
        </is>
      </c>
      <c r="B610" s="6" t="inlineStr">
        <is>
          <t>篮球装备</t>
        </is>
      </c>
      <c r="C610" s="6" t="inlineStr">
        <is>
          <t>华北</t>
        </is>
      </c>
      <c r="D610" s="6" t="inlineStr">
        <is>
          <t>刘强</t>
        </is>
      </c>
      <c r="E610" s="6" t="inlineStr">
        <is>
          <t>小飞侠运动俱乐部</t>
        </is>
      </c>
      <c r="F610" s="7" t="n">
        <v>64100</v>
      </c>
      <c r="G610" s="7" t="n">
        <v>40300</v>
      </c>
      <c r="H610" s="7" t="n">
        <v>23800</v>
      </c>
      <c r="I610" s="8" t="n">
        <v>0.3712948517940718</v>
      </c>
    </row>
    <row r="611">
      <c r="A611" s="6" t="inlineStr">
        <is>
          <t>2025-07</t>
        </is>
      </c>
      <c r="B611" s="6" t="inlineStr">
        <is>
          <t>篮球装备</t>
        </is>
      </c>
      <c r="C611" s="6" t="inlineStr">
        <is>
          <t>华北</t>
        </is>
      </c>
      <c r="D611" s="6" t="inlineStr">
        <is>
          <t>陈静</t>
        </is>
      </c>
      <c r="E611" s="6" t="inlineStr">
        <is>
          <t>腾飞体育用品</t>
        </is>
      </c>
      <c r="F611" s="7" t="n">
        <v>77000</v>
      </c>
      <c r="G611" s="7" t="n">
        <v>50900</v>
      </c>
      <c r="H611" s="7" t="n">
        <v>26100</v>
      </c>
      <c r="I611" s="8" t="n">
        <v>0.338961038961039</v>
      </c>
    </row>
    <row r="612">
      <c r="A612" s="6" t="inlineStr">
        <is>
          <t>2025-07</t>
        </is>
      </c>
      <c r="B612" s="6" t="inlineStr">
        <is>
          <t>篮球装备</t>
        </is>
      </c>
      <c r="C612" s="6" t="inlineStr">
        <is>
          <t>华南</t>
        </is>
      </c>
      <c r="D612" s="6" t="inlineStr">
        <is>
          <t>张伟</t>
        </is>
      </c>
      <c r="E612" s="6" t="inlineStr">
        <is>
          <t>风云篮球馆</t>
        </is>
      </c>
      <c r="F612" s="7" t="n">
        <v>86500</v>
      </c>
      <c r="G612" s="7" t="n">
        <v>56500</v>
      </c>
      <c r="H612" s="7" t="n">
        <v>30000</v>
      </c>
      <c r="I612" s="8" t="n">
        <v>0.3468208092485549</v>
      </c>
    </row>
    <row r="613">
      <c r="A613" s="6" t="inlineStr">
        <is>
          <t>2025-07</t>
        </is>
      </c>
      <c r="B613" s="6" t="inlineStr">
        <is>
          <t>篮球装备</t>
        </is>
      </c>
      <c r="C613" s="6" t="inlineStr">
        <is>
          <t>华南</t>
        </is>
      </c>
      <c r="D613" s="6" t="inlineStr">
        <is>
          <t>李娜</t>
        </is>
      </c>
      <c r="E613" s="6" t="inlineStr">
        <is>
          <t>飞跃训练营</t>
        </is>
      </c>
      <c r="F613" s="7" t="n">
        <v>70700</v>
      </c>
      <c r="G613" s="7" t="n">
        <v>45500</v>
      </c>
      <c r="H613" s="7" t="n">
        <v>25200</v>
      </c>
      <c r="I613" s="8" t="n">
        <v>0.3564356435643564</v>
      </c>
    </row>
    <row r="614">
      <c r="A614" s="6" t="inlineStr">
        <is>
          <t>2025-07</t>
        </is>
      </c>
      <c r="B614" s="6" t="inlineStr">
        <is>
          <t>篮球装备</t>
        </is>
      </c>
      <c r="C614" s="6" t="inlineStr">
        <is>
          <t>华南</t>
        </is>
      </c>
      <c r="D614" s="6" t="inlineStr">
        <is>
          <t>王芳</t>
        </is>
      </c>
      <c r="E614" s="6" t="inlineStr">
        <is>
          <t>飞跃训练营</t>
        </is>
      </c>
      <c r="F614" s="7" t="n">
        <v>74500</v>
      </c>
      <c r="G614" s="7" t="n">
        <v>48300</v>
      </c>
      <c r="H614" s="7" t="n">
        <v>26200</v>
      </c>
      <c r="I614" s="8" t="n">
        <v>0.3516778523489933</v>
      </c>
    </row>
    <row r="615">
      <c r="A615" s="6" t="inlineStr">
        <is>
          <t>2025-07</t>
        </is>
      </c>
      <c r="B615" s="6" t="inlineStr">
        <is>
          <t>篮球装备</t>
        </is>
      </c>
      <c r="C615" s="6" t="inlineStr">
        <is>
          <t>华南</t>
        </is>
      </c>
      <c r="D615" s="6" t="inlineStr">
        <is>
          <t>刘强</t>
        </is>
      </c>
      <c r="E615" s="6" t="inlineStr">
        <is>
          <t>元气营养</t>
        </is>
      </c>
      <c r="F615" s="7" t="n">
        <v>79500</v>
      </c>
      <c r="G615" s="7" t="n">
        <v>53800</v>
      </c>
      <c r="H615" s="7" t="n">
        <v>25700</v>
      </c>
      <c r="I615" s="8" t="n">
        <v>0.3232704402515723</v>
      </c>
    </row>
    <row r="616">
      <c r="A616" s="6" t="inlineStr">
        <is>
          <t>2025-07</t>
        </is>
      </c>
      <c r="B616" s="6" t="inlineStr">
        <is>
          <t>篮球装备</t>
        </is>
      </c>
      <c r="C616" s="6" t="inlineStr">
        <is>
          <t>华南</t>
        </is>
      </c>
      <c r="D616" s="6" t="inlineStr">
        <is>
          <t>陈静</t>
        </is>
      </c>
      <c r="E616" s="6" t="inlineStr">
        <is>
          <t>超能体育</t>
        </is>
      </c>
      <c r="F616" s="7" t="n">
        <v>65100</v>
      </c>
      <c r="G616" s="7" t="n">
        <v>42900</v>
      </c>
      <c r="H616" s="7" t="n">
        <v>22200</v>
      </c>
      <c r="I616" s="8" t="n">
        <v>0.3410138248847926</v>
      </c>
    </row>
    <row r="617">
      <c r="A617" s="6" t="inlineStr">
        <is>
          <t>2025-07</t>
        </is>
      </c>
      <c r="B617" s="6" t="inlineStr">
        <is>
          <t>篮球装备</t>
        </is>
      </c>
      <c r="C617" s="6" t="inlineStr">
        <is>
          <t>西部</t>
        </is>
      </c>
      <c r="D617" s="6" t="inlineStr">
        <is>
          <t>张伟</t>
        </is>
      </c>
      <c r="E617" s="6" t="inlineStr">
        <is>
          <t>纵横运动</t>
        </is>
      </c>
      <c r="F617" s="7" t="n">
        <v>54700</v>
      </c>
      <c r="G617" s="7" t="n">
        <v>35000</v>
      </c>
      <c r="H617" s="7" t="n">
        <v>19700</v>
      </c>
      <c r="I617" s="8" t="n">
        <v>0.360146252285192</v>
      </c>
    </row>
    <row r="618">
      <c r="A618" s="6" t="inlineStr">
        <is>
          <t>2025-07</t>
        </is>
      </c>
      <c r="B618" s="6" t="inlineStr">
        <is>
          <t>篮球装备</t>
        </is>
      </c>
      <c r="C618" s="6" t="inlineStr">
        <is>
          <t>西部</t>
        </is>
      </c>
      <c r="D618" s="6" t="inlineStr">
        <is>
          <t>李娜</t>
        </is>
      </c>
      <c r="E618" s="6" t="inlineStr">
        <is>
          <t>锐健身工作室</t>
        </is>
      </c>
      <c r="F618" s="7" t="n">
        <v>57600</v>
      </c>
      <c r="G618" s="7" t="n">
        <v>36100</v>
      </c>
      <c r="H618" s="7" t="n">
        <v>21500</v>
      </c>
      <c r="I618" s="8" t="n">
        <v>0.3732638888888889</v>
      </c>
    </row>
    <row r="619">
      <c r="A619" s="6" t="inlineStr">
        <is>
          <t>2025-07</t>
        </is>
      </c>
      <c r="B619" s="6" t="inlineStr">
        <is>
          <t>篮球装备</t>
        </is>
      </c>
      <c r="C619" s="6" t="inlineStr">
        <is>
          <t>西部</t>
        </is>
      </c>
      <c r="D619" s="6" t="inlineStr">
        <is>
          <t>王芳</t>
        </is>
      </c>
      <c r="E619" s="6" t="inlineStr">
        <is>
          <t>阳光体能</t>
        </is>
      </c>
      <c r="F619" s="7" t="n">
        <v>56800</v>
      </c>
      <c r="G619" s="7" t="n">
        <v>36200</v>
      </c>
      <c r="H619" s="7" t="n">
        <v>20600</v>
      </c>
      <c r="I619" s="8" t="n">
        <v>0.3626760563380282</v>
      </c>
    </row>
    <row r="620">
      <c r="A620" s="6" t="inlineStr">
        <is>
          <t>2025-07</t>
        </is>
      </c>
      <c r="B620" s="6" t="inlineStr">
        <is>
          <t>篮球装备</t>
        </is>
      </c>
      <c r="C620" s="6" t="inlineStr">
        <is>
          <t>西部</t>
        </is>
      </c>
      <c r="D620" s="6" t="inlineStr">
        <is>
          <t>刘强</t>
        </is>
      </c>
      <c r="E620" s="6" t="inlineStr">
        <is>
          <t>阳光体能</t>
        </is>
      </c>
      <c r="F620" s="7" t="n">
        <v>42000</v>
      </c>
      <c r="G620" s="7" t="n">
        <v>28500</v>
      </c>
      <c r="H620" s="7" t="n">
        <v>13500</v>
      </c>
      <c r="I620" s="8" t="n">
        <v>0.3214285714285715</v>
      </c>
    </row>
    <row r="621">
      <c r="A621" s="6" t="inlineStr">
        <is>
          <t>2025-07</t>
        </is>
      </c>
      <c r="B621" s="6" t="inlineStr">
        <is>
          <t>篮球装备</t>
        </is>
      </c>
      <c r="C621" s="6" t="inlineStr">
        <is>
          <t>西部</t>
        </is>
      </c>
      <c r="D621" s="6" t="inlineStr">
        <is>
          <t>陈静</t>
        </is>
      </c>
      <c r="E621" s="6" t="inlineStr">
        <is>
          <t>锐动体育用品</t>
        </is>
      </c>
      <c r="F621" s="7" t="n">
        <v>42300</v>
      </c>
      <c r="G621" s="7" t="n">
        <v>28500</v>
      </c>
      <c r="H621" s="7" t="n">
        <v>13800</v>
      </c>
      <c r="I621" s="8" t="n">
        <v>0.3262411347517731</v>
      </c>
    </row>
    <row r="622">
      <c r="A622" s="6" t="inlineStr">
        <is>
          <t>2025-07</t>
        </is>
      </c>
      <c r="B622" s="6" t="inlineStr">
        <is>
          <t>体适能器材</t>
        </is>
      </c>
      <c r="C622" s="6" t="inlineStr">
        <is>
          <t>华东</t>
        </is>
      </c>
      <c r="D622" s="6" t="inlineStr">
        <is>
          <t>张伟</t>
        </is>
      </c>
      <c r="E622" s="6" t="inlineStr">
        <is>
          <t>小小运动家</t>
        </is>
      </c>
      <c r="F622" s="7" t="n">
        <v>62900</v>
      </c>
      <c r="G622" s="7" t="n">
        <v>43600</v>
      </c>
      <c r="H622" s="7" t="n">
        <v>19300</v>
      </c>
      <c r="I622" s="8" t="n">
        <v>0.3068362480127186</v>
      </c>
    </row>
    <row r="623">
      <c r="A623" s="6" t="inlineStr">
        <is>
          <t>2025-07</t>
        </is>
      </c>
      <c r="B623" s="6" t="inlineStr">
        <is>
          <t>体适能器材</t>
        </is>
      </c>
      <c r="C623" s="6" t="inlineStr">
        <is>
          <t>华东</t>
        </is>
      </c>
      <c r="D623" s="6" t="inlineStr">
        <is>
          <t>李娜</t>
        </is>
      </c>
      <c r="E623" s="6" t="inlineStr">
        <is>
          <t>活力无限健身</t>
        </is>
      </c>
      <c r="F623" s="7" t="n">
        <v>61100</v>
      </c>
      <c r="G623" s="7" t="n">
        <v>42300</v>
      </c>
      <c r="H623" s="7" t="n">
        <v>18800</v>
      </c>
      <c r="I623" s="8" t="n">
        <v>0.3076923076923077</v>
      </c>
    </row>
    <row r="624">
      <c r="A624" s="6" t="inlineStr">
        <is>
          <t>2025-07</t>
        </is>
      </c>
      <c r="B624" s="6" t="inlineStr">
        <is>
          <t>体适能器材</t>
        </is>
      </c>
      <c r="C624" s="6" t="inlineStr">
        <is>
          <t>华东</t>
        </is>
      </c>
      <c r="D624" s="6" t="inlineStr">
        <is>
          <t>王芳</t>
        </is>
      </c>
      <c r="E624" s="6" t="inlineStr">
        <is>
          <t>茁长少儿体适能</t>
        </is>
      </c>
      <c r="F624" s="7" t="n">
        <v>82100</v>
      </c>
      <c r="G624" s="7" t="n">
        <v>58900</v>
      </c>
      <c r="H624" s="7" t="n">
        <v>23200</v>
      </c>
      <c r="I624" s="8" t="n">
        <v>0.2825822168087698</v>
      </c>
    </row>
    <row r="625">
      <c r="A625" s="6" t="inlineStr">
        <is>
          <t>2025-07</t>
        </is>
      </c>
      <c r="B625" s="6" t="inlineStr">
        <is>
          <t>体适能器材</t>
        </is>
      </c>
      <c r="C625" s="6" t="inlineStr">
        <is>
          <t>华东</t>
        </is>
      </c>
      <c r="D625" s="6" t="inlineStr">
        <is>
          <t>刘强</t>
        </is>
      </c>
      <c r="E625" s="6" t="inlineStr">
        <is>
          <t>领跑体育</t>
        </is>
      </c>
      <c r="F625" s="7" t="n">
        <v>60900</v>
      </c>
      <c r="G625" s="7" t="n">
        <v>40900</v>
      </c>
      <c r="H625" s="7" t="n">
        <v>20000</v>
      </c>
      <c r="I625" s="8" t="n">
        <v>0.3284072249589491</v>
      </c>
    </row>
    <row r="626">
      <c r="A626" s="6" t="inlineStr">
        <is>
          <t>2025-07</t>
        </is>
      </c>
      <c r="B626" s="6" t="inlineStr">
        <is>
          <t>体适能器材</t>
        </is>
      </c>
      <c r="C626" s="6" t="inlineStr">
        <is>
          <t>华东</t>
        </is>
      </c>
      <c r="D626" s="6" t="inlineStr">
        <is>
          <t>陈静</t>
        </is>
      </c>
      <c r="E626" s="6" t="inlineStr">
        <is>
          <t>动能营养</t>
        </is>
      </c>
      <c r="F626" s="7" t="n">
        <v>72100</v>
      </c>
      <c r="G626" s="7" t="n">
        <v>51900</v>
      </c>
      <c r="H626" s="7" t="n">
        <v>20200</v>
      </c>
      <c r="I626" s="8" t="n">
        <v>0.2801664355062413</v>
      </c>
    </row>
    <row r="627">
      <c r="A627" s="6" t="inlineStr">
        <is>
          <t>2025-07</t>
        </is>
      </c>
      <c r="B627" s="6" t="inlineStr">
        <is>
          <t>体适能器材</t>
        </is>
      </c>
      <c r="C627" s="6" t="inlineStr">
        <is>
          <t>华北</t>
        </is>
      </c>
      <c r="D627" s="6" t="inlineStr">
        <is>
          <t>张伟</t>
        </is>
      </c>
      <c r="E627" s="6" t="inlineStr">
        <is>
          <t>飞跃训练营</t>
        </is>
      </c>
      <c r="F627" s="7" t="n">
        <v>51700</v>
      </c>
      <c r="G627" s="7" t="n">
        <v>36400</v>
      </c>
      <c r="H627" s="7" t="n">
        <v>15300</v>
      </c>
      <c r="I627" s="8" t="n">
        <v>0.2959381044487427</v>
      </c>
    </row>
    <row r="628">
      <c r="A628" s="6" t="inlineStr">
        <is>
          <t>2025-07</t>
        </is>
      </c>
      <c r="B628" s="6" t="inlineStr">
        <is>
          <t>体适能器材</t>
        </is>
      </c>
      <c r="C628" s="6" t="inlineStr">
        <is>
          <t>华北</t>
        </is>
      </c>
      <c r="D628" s="6" t="inlineStr">
        <is>
          <t>李娜</t>
        </is>
      </c>
      <c r="E628" s="6" t="inlineStr">
        <is>
          <t>极客穿戴</t>
        </is>
      </c>
      <c r="F628" s="7" t="n">
        <v>55600</v>
      </c>
      <c r="G628" s="7" t="n">
        <v>37700</v>
      </c>
      <c r="H628" s="7" t="n">
        <v>17900</v>
      </c>
      <c r="I628" s="8" t="n">
        <v>0.3219424460431655</v>
      </c>
    </row>
    <row r="629">
      <c r="A629" s="6" t="inlineStr">
        <is>
          <t>2025-07</t>
        </is>
      </c>
      <c r="B629" s="6" t="inlineStr">
        <is>
          <t>体适能器材</t>
        </is>
      </c>
      <c r="C629" s="6" t="inlineStr">
        <is>
          <t>华北</t>
        </is>
      </c>
      <c r="D629" s="6" t="inlineStr">
        <is>
          <t>王芳</t>
        </is>
      </c>
      <c r="E629" s="6" t="inlineStr">
        <is>
          <t>康威运动商城</t>
        </is>
      </c>
      <c r="F629" s="7" t="n">
        <v>59000</v>
      </c>
      <c r="G629" s="7" t="n">
        <v>39600</v>
      </c>
      <c r="H629" s="7" t="n">
        <v>19400</v>
      </c>
      <c r="I629" s="8" t="n">
        <v>0.3288135593220339</v>
      </c>
    </row>
    <row r="630">
      <c r="A630" s="6" t="inlineStr">
        <is>
          <t>2025-07</t>
        </is>
      </c>
      <c r="B630" s="6" t="inlineStr">
        <is>
          <t>体适能器材</t>
        </is>
      </c>
      <c r="C630" s="6" t="inlineStr">
        <is>
          <t>华北</t>
        </is>
      </c>
      <c r="D630" s="6" t="inlineStr">
        <is>
          <t>刘强</t>
        </is>
      </c>
      <c r="E630" s="6" t="inlineStr">
        <is>
          <t>卓越体能训练营</t>
        </is>
      </c>
      <c r="F630" s="7" t="n">
        <v>56500</v>
      </c>
      <c r="G630" s="7" t="n">
        <v>38400</v>
      </c>
      <c r="H630" s="7" t="n">
        <v>18100</v>
      </c>
      <c r="I630" s="8" t="n">
        <v>0.320353982300885</v>
      </c>
    </row>
    <row r="631">
      <c r="A631" s="6" t="inlineStr">
        <is>
          <t>2025-07</t>
        </is>
      </c>
      <c r="B631" s="6" t="inlineStr">
        <is>
          <t>体适能器材</t>
        </is>
      </c>
      <c r="C631" s="6" t="inlineStr">
        <is>
          <t>华北</t>
        </is>
      </c>
      <c r="D631" s="6" t="inlineStr">
        <is>
          <t>陈静</t>
        </is>
      </c>
      <c r="E631" s="6" t="inlineStr">
        <is>
          <t>元气营养</t>
        </is>
      </c>
      <c r="F631" s="7" t="n">
        <v>49400</v>
      </c>
      <c r="G631" s="7" t="n">
        <v>36000</v>
      </c>
      <c r="H631" s="7" t="n">
        <v>13400</v>
      </c>
      <c r="I631" s="8" t="n">
        <v>0.2712550607287449</v>
      </c>
    </row>
    <row r="632">
      <c r="A632" s="6" t="inlineStr">
        <is>
          <t>2025-07</t>
        </is>
      </c>
      <c r="B632" s="6" t="inlineStr">
        <is>
          <t>体适能器材</t>
        </is>
      </c>
      <c r="C632" s="6" t="inlineStr">
        <is>
          <t>华南</t>
        </is>
      </c>
      <c r="D632" s="6" t="inlineStr">
        <is>
          <t>张伟</t>
        </is>
      </c>
      <c r="E632" s="6" t="inlineStr">
        <is>
          <t>风云篮球馆</t>
        </is>
      </c>
      <c r="F632" s="7" t="n">
        <v>51100</v>
      </c>
      <c r="G632" s="7" t="n">
        <v>34300</v>
      </c>
      <c r="H632" s="7" t="n">
        <v>16800</v>
      </c>
      <c r="I632" s="8" t="n">
        <v>0.3287671232876712</v>
      </c>
    </row>
    <row r="633">
      <c r="A633" s="6" t="inlineStr">
        <is>
          <t>2025-07</t>
        </is>
      </c>
      <c r="B633" s="6" t="inlineStr">
        <is>
          <t>体适能器材</t>
        </is>
      </c>
      <c r="C633" s="6" t="inlineStr">
        <is>
          <t>华南</t>
        </is>
      </c>
      <c r="D633" s="6" t="inlineStr">
        <is>
          <t>李娜</t>
        </is>
      </c>
      <c r="E633" s="6" t="inlineStr">
        <is>
          <t>优加体能中心</t>
        </is>
      </c>
      <c r="F633" s="7" t="n">
        <v>53000</v>
      </c>
      <c r="G633" s="7" t="n">
        <v>37100</v>
      </c>
      <c r="H633" s="7" t="n">
        <v>15900</v>
      </c>
      <c r="I633" s="8" t="n">
        <v>0.3</v>
      </c>
    </row>
    <row r="634">
      <c r="A634" s="6" t="inlineStr">
        <is>
          <t>2025-07</t>
        </is>
      </c>
      <c r="B634" s="6" t="inlineStr">
        <is>
          <t>体适能器材</t>
        </is>
      </c>
      <c r="C634" s="6" t="inlineStr">
        <is>
          <t>华南</t>
        </is>
      </c>
      <c r="D634" s="6" t="inlineStr">
        <is>
          <t>王芳</t>
        </is>
      </c>
      <c r="E634" s="6" t="inlineStr">
        <is>
          <t>活力无限健身</t>
        </is>
      </c>
      <c r="F634" s="7" t="n">
        <v>65900</v>
      </c>
      <c r="G634" s="7" t="n">
        <v>47600</v>
      </c>
      <c r="H634" s="7" t="n">
        <v>18300</v>
      </c>
      <c r="I634" s="8" t="n">
        <v>0.2776934749620638</v>
      </c>
    </row>
    <row r="635">
      <c r="A635" s="6" t="inlineStr">
        <is>
          <t>2025-07</t>
        </is>
      </c>
      <c r="B635" s="6" t="inlineStr">
        <is>
          <t>体适能器材</t>
        </is>
      </c>
      <c r="C635" s="6" t="inlineStr">
        <is>
          <t>华南</t>
        </is>
      </c>
      <c r="D635" s="6" t="inlineStr">
        <is>
          <t>刘强</t>
        </is>
      </c>
      <c r="E635" s="6" t="inlineStr">
        <is>
          <t>环宇体育</t>
        </is>
      </c>
      <c r="F635" s="7" t="n">
        <v>61800</v>
      </c>
      <c r="G635" s="7" t="n">
        <v>41700</v>
      </c>
      <c r="H635" s="7" t="n">
        <v>20100</v>
      </c>
      <c r="I635" s="8" t="n">
        <v>0.325242718446602</v>
      </c>
    </row>
    <row r="636">
      <c r="A636" s="6" t="inlineStr">
        <is>
          <t>2025-07</t>
        </is>
      </c>
      <c r="B636" s="6" t="inlineStr">
        <is>
          <t>体适能器材</t>
        </is>
      </c>
      <c r="C636" s="6" t="inlineStr">
        <is>
          <t>华南</t>
        </is>
      </c>
      <c r="D636" s="6" t="inlineStr">
        <is>
          <t>陈静</t>
        </is>
      </c>
      <c r="E636" s="6" t="inlineStr">
        <is>
          <t>元气营养</t>
        </is>
      </c>
      <c r="F636" s="7" t="n">
        <v>58500</v>
      </c>
      <c r="G636" s="7" t="n">
        <v>40400</v>
      </c>
      <c r="H636" s="7" t="n">
        <v>18100</v>
      </c>
      <c r="I636" s="8" t="n">
        <v>0.3094017094017094</v>
      </c>
    </row>
    <row r="637">
      <c r="A637" s="6" t="inlineStr">
        <is>
          <t>2025-07</t>
        </is>
      </c>
      <c r="B637" s="6" t="inlineStr">
        <is>
          <t>体适能器材</t>
        </is>
      </c>
      <c r="C637" s="6" t="inlineStr">
        <is>
          <t>西部</t>
        </is>
      </c>
      <c r="D637" s="6" t="inlineStr">
        <is>
          <t>张伟</t>
        </is>
      </c>
      <c r="E637" s="6" t="inlineStr">
        <is>
          <t>童行运动馆</t>
        </is>
      </c>
      <c r="F637" s="7" t="n">
        <v>33600</v>
      </c>
      <c r="G637" s="7" t="n">
        <v>23000</v>
      </c>
      <c r="H637" s="7" t="n">
        <v>10600</v>
      </c>
      <c r="I637" s="8" t="n">
        <v>0.3154761904761905</v>
      </c>
    </row>
    <row r="638">
      <c r="A638" s="6" t="inlineStr">
        <is>
          <t>2025-07</t>
        </is>
      </c>
      <c r="B638" s="6" t="inlineStr">
        <is>
          <t>体适能器材</t>
        </is>
      </c>
      <c r="C638" s="6" t="inlineStr">
        <is>
          <t>西部</t>
        </is>
      </c>
      <c r="D638" s="6" t="inlineStr">
        <is>
          <t>李娜</t>
        </is>
      </c>
      <c r="E638" s="6" t="inlineStr">
        <is>
          <t>动能营养</t>
        </is>
      </c>
      <c r="F638" s="7" t="n">
        <v>37800</v>
      </c>
      <c r="G638" s="7" t="n">
        <v>27300</v>
      </c>
      <c r="H638" s="7" t="n">
        <v>10500</v>
      </c>
      <c r="I638" s="8" t="n">
        <v>0.2777777777777778</v>
      </c>
    </row>
    <row r="639">
      <c r="A639" s="6" t="inlineStr">
        <is>
          <t>2025-07</t>
        </is>
      </c>
      <c r="B639" s="6" t="inlineStr">
        <is>
          <t>体适能器材</t>
        </is>
      </c>
      <c r="C639" s="6" t="inlineStr">
        <is>
          <t>西部</t>
        </is>
      </c>
      <c r="D639" s="6" t="inlineStr">
        <is>
          <t>王芳</t>
        </is>
      </c>
      <c r="E639" s="6" t="inlineStr">
        <is>
          <t>领跑体育</t>
        </is>
      </c>
      <c r="F639" s="7" t="n">
        <v>35000</v>
      </c>
      <c r="G639" s="7" t="n">
        <v>24200</v>
      </c>
      <c r="H639" s="7" t="n">
        <v>10800</v>
      </c>
      <c r="I639" s="8" t="n">
        <v>0.3085714285714286</v>
      </c>
    </row>
    <row r="640">
      <c r="A640" s="6" t="inlineStr">
        <is>
          <t>2025-07</t>
        </is>
      </c>
      <c r="B640" s="6" t="inlineStr">
        <is>
          <t>体适能器材</t>
        </is>
      </c>
      <c r="C640" s="6" t="inlineStr">
        <is>
          <t>西部</t>
        </is>
      </c>
      <c r="D640" s="6" t="inlineStr">
        <is>
          <t>刘强</t>
        </is>
      </c>
      <c r="E640" s="6" t="inlineStr">
        <is>
          <t>童行运动馆</t>
        </is>
      </c>
      <c r="F640" s="7" t="n">
        <v>34900</v>
      </c>
      <c r="G640" s="7" t="n">
        <v>25500</v>
      </c>
      <c r="H640" s="7" t="n">
        <v>9400</v>
      </c>
      <c r="I640" s="8" t="n">
        <v>0.2693409742120344</v>
      </c>
    </row>
    <row r="641">
      <c r="A641" s="6" t="inlineStr">
        <is>
          <t>2025-07</t>
        </is>
      </c>
      <c r="B641" s="6" t="inlineStr">
        <is>
          <t>体适能器材</t>
        </is>
      </c>
      <c r="C641" s="6" t="inlineStr">
        <is>
          <t>西部</t>
        </is>
      </c>
      <c r="D641" s="6" t="inlineStr">
        <is>
          <t>陈静</t>
        </is>
      </c>
      <c r="E641" s="6" t="inlineStr">
        <is>
          <t>飞跃训练营</t>
        </is>
      </c>
      <c r="F641" s="7" t="n">
        <v>36800</v>
      </c>
      <c r="G641" s="7" t="n">
        <v>25200</v>
      </c>
      <c r="H641" s="7" t="n">
        <v>11600</v>
      </c>
      <c r="I641" s="8" t="n">
        <v>0.3152173913043478</v>
      </c>
    </row>
    <row r="642">
      <c r="A642" s="6" t="inlineStr">
        <is>
          <t>2025-07</t>
        </is>
      </c>
      <c r="B642" s="6" t="inlineStr">
        <is>
          <t>训练服饰</t>
        </is>
      </c>
      <c r="C642" s="6" t="inlineStr">
        <is>
          <t>华东</t>
        </is>
      </c>
      <c r="D642" s="6" t="inlineStr">
        <is>
          <t>张伟</t>
        </is>
      </c>
      <c r="E642" s="6" t="inlineStr">
        <is>
          <t>元气营养</t>
        </is>
      </c>
      <c r="F642" s="7" t="n">
        <v>48100</v>
      </c>
      <c r="G642" s="7" t="n">
        <v>25100</v>
      </c>
      <c r="H642" s="7" t="n">
        <v>23000</v>
      </c>
      <c r="I642" s="8" t="n">
        <v>0.4781704781704782</v>
      </c>
    </row>
    <row r="643">
      <c r="A643" s="6" t="inlineStr">
        <is>
          <t>2025-07</t>
        </is>
      </c>
      <c r="B643" s="6" t="inlineStr">
        <is>
          <t>训练服饰</t>
        </is>
      </c>
      <c r="C643" s="6" t="inlineStr">
        <is>
          <t>华东</t>
        </is>
      </c>
      <c r="D643" s="6" t="inlineStr">
        <is>
          <t>李娜</t>
        </is>
      </c>
      <c r="E643" s="6" t="inlineStr">
        <is>
          <t>悍将运动</t>
        </is>
      </c>
      <c r="F643" s="7" t="n">
        <v>53900</v>
      </c>
      <c r="G643" s="7" t="n">
        <v>28900</v>
      </c>
      <c r="H643" s="7" t="n">
        <v>25000</v>
      </c>
      <c r="I643" s="8" t="n">
        <v>0.4638218923933209</v>
      </c>
    </row>
    <row r="644">
      <c r="A644" s="6" t="inlineStr">
        <is>
          <t>2025-07</t>
        </is>
      </c>
      <c r="B644" s="6" t="inlineStr">
        <is>
          <t>训练服饰</t>
        </is>
      </c>
      <c r="C644" s="6" t="inlineStr">
        <is>
          <t>华东</t>
        </is>
      </c>
      <c r="D644" s="6" t="inlineStr">
        <is>
          <t>王芳</t>
        </is>
      </c>
      <c r="E644" s="6" t="inlineStr">
        <is>
          <t>天天向上健身</t>
        </is>
      </c>
      <c r="F644" s="7" t="n">
        <v>50000</v>
      </c>
      <c r="G644" s="7" t="n">
        <v>26700</v>
      </c>
      <c r="H644" s="7" t="n">
        <v>23300</v>
      </c>
      <c r="I644" s="8" t="n">
        <v>0.466</v>
      </c>
    </row>
    <row r="645">
      <c r="A645" s="6" t="inlineStr">
        <is>
          <t>2025-07</t>
        </is>
      </c>
      <c r="B645" s="6" t="inlineStr">
        <is>
          <t>训练服饰</t>
        </is>
      </c>
      <c r="C645" s="6" t="inlineStr">
        <is>
          <t>华东</t>
        </is>
      </c>
      <c r="D645" s="6" t="inlineStr">
        <is>
          <t>刘强</t>
        </is>
      </c>
      <c r="E645" s="6" t="inlineStr">
        <is>
          <t>成长树运动馆</t>
        </is>
      </c>
      <c r="F645" s="7" t="n">
        <v>47800</v>
      </c>
      <c r="G645" s="7" t="n">
        <v>25300</v>
      </c>
      <c r="H645" s="7" t="n">
        <v>22500</v>
      </c>
      <c r="I645" s="8" t="n">
        <v>0.4707112970711297</v>
      </c>
    </row>
    <row r="646">
      <c r="A646" s="6" t="inlineStr">
        <is>
          <t>2025-07</t>
        </is>
      </c>
      <c r="B646" s="6" t="inlineStr">
        <is>
          <t>训练服饰</t>
        </is>
      </c>
      <c r="C646" s="6" t="inlineStr">
        <is>
          <t>华东</t>
        </is>
      </c>
      <c r="D646" s="6" t="inlineStr">
        <is>
          <t>陈静</t>
        </is>
      </c>
      <c r="E646" s="6" t="inlineStr">
        <is>
          <t>篮途体育文化</t>
        </is>
      </c>
      <c r="F646" s="7" t="n">
        <v>50800</v>
      </c>
      <c r="G646" s="7" t="n">
        <v>28200</v>
      </c>
      <c r="H646" s="7" t="n">
        <v>22600</v>
      </c>
      <c r="I646" s="8" t="n">
        <v>0.4448818897637795</v>
      </c>
    </row>
    <row r="647">
      <c r="A647" s="6" t="inlineStr">
        <is>
          <t>2025-07</t>
        </is>
      </c>
      <c r="B647" s="6" t="inlineStr">
        <is>
          <t>训练服饰</t>
        </is>
      </c>
      <c r="C647" s="6" t="inlineStr">
        <is>
          <t>华北</t>
        </is>
      </c>
      <c r="D647" s="6" t="inlineStr">
        <is>
          <t>张伟</t>
        </is>
      </c>
      <c r="E647" s="6" t="inlineStr">
        <is>
          <t>动能营养</t>
        </is>
      </c>
      <c r="F647" s="7" t="n">
        <v>39400</v>
      </c>
      <c r="G647" s="7" t="n">
        <v>21000</v>
      </c>
      <c r="H647" s="7" t="n">
        <v>18400</v>
      </c>
      <c r="I647" s="8" t="n">
        <v>0.467005076142132</v>
      </c>
    </row>
    <row r="648">
      <c r="A648" s="6" t="inlineStr">
        <is>
          <t>2025-07</t>
        </is>
      </c>
      <c r="B648" s="6" t="inlineStr">
        <is>
          <t>训练服饰</t>
        </is>
      </c>
      <c r="C648" s="6" t="inlineStr">
        <is>
          <t>华北</t>
        </is>
      </c>
      <c r="D648" s="6" t="inlineStr">
        <is>
          <t>李娜</t>
        </is>
      </c>
      <c r="E648" s="6" t="inlineStr">
        <is>
          <t>风云篮球馆</t>
        </is>
      </c>
      <c r="F648" s="7" t="n">
        <v>40300</v>
      </c>
      <c r="G648" s="7" t="n">
        <v>21600</v>
      </c>
      <c r="H648" s="7" t="n">
        <v>18700</v>
      </c>
      <c r="I648" s="8" t="n">
        <v>0.4640198511166253</v>
      </c>
    </row>
    <row r="649">
      <c r="A649" s="6" t="inlineStr">
        <is>
          <t>2025-07</t>
        </is>
      </c>
      <c r="B649" s="6" t="inlineStr">
        <is>
          <t>训练服饰</t>
        </is>
      </c>
      <c r="C649" s="6" t="inlineStr">
        <is>
          <t>华北</t>
        </is>
      </c>
      <c r="D649" s="6" t="inlineStr">
        <is>
          <t>王芳</t>
        </is>
      </c>
      <c r="E649" s="6" t="inlineStr">
        <is>
          <t>天天向上健身</t>
        </is>
      </c>
      <c r="F649" s="7" t="n">
        <v>42200</v>
      </c>
      <c r="G649" s="7" t="n">
        <v>22600</v>
      </c>
      <c r="H649" s="7" t="n">
        <v>19600</v>
      </c>
      <c r="I649" s="8" t="n">
        <v>0.4644549763033176</v>
      </c>
    </row>
    <row r="650">
      <c r="A650" s="6" t="inlineStr">
        <is>
          <t>2025-07</t>
        </is>
      </c>
      <c r="B650" s="6" t="inlineStr">
        <is>
          <t>训练服饰</t>
        </is>
      </c>
      <c r="C650" s="6" t="inlineStr">
        <is>
          <t>华北</t>
        </is>
      </c>
      <c r="D650" s="6" t="inlineStr">
        <is>
          <t>刘强</t>
        </is>
      </c>
      <c r="E650" s="6" t="inlineStr">
        <is>
          <t>巅峰运动</t>
        </is>
      </c>
      <c r="F650" s="7" t="n">
        <v>28900</v>
      </c>
      <c r="G650" s="7" t="n">
        <v>16100</v>
      </c>
      <c r="H650" s="7" t="n">
        <v>12800</v>
      </c>
      <c r="I650" s="8" t="n">
        <v>0.4429065743944637</v>
      </c>
    </row>
    <row r="651">
      <c r="A651" s="6" t="inlineStr">
        <is>
          <t>2025-07</t>
        </is>
      </c>
      <c r="B651" s="6" t="inlineStr">
        <is>
          <t>训练服饰</t>
        </is>
      </c>
      <c r="C651" s="6" t="inlineStr">
        <is>
          <t>华北</t>
        </is>
      </c>
      <c r="D651" s="6" t="inlineStr">
        <is>
          <t>陈静</t>
        </is>
      </c>
      <c r="E651" s="6" t="inlineStr">
        <is>
          <t>篮途体育文化</t>
        </is>
      </c>
      <c r="F651" s="7" t="n">
        <v>29900</v>
      </c>
      <c r="G651" s="7" t="n">
        <v>16800</v>
      </c>
      <c r="H651" s="7" t="n">
        <v>13100</v>
      </c>
      <c r="I651" s="8" t="n">
        <v>0.4381270903010033</v>
      </c>
    </row>
    <row r="652">
      <c r="A652" s="6" t="inlineStr">
        <is>
          <t>2025-07</t>
        </is>
      </c>
      <c r="B652" s="6" t="inlineStr">
        <is>
          <t>训练服饰</t>
        </is>
      </c>
      <c r="C652" s="6" t="inlineStr">
        <is>
          <t>华南</t>
        </is>
      </c>
      <c r="D652" s="6" t="inlineStr">
        <is>
          <t>张伟</t>
        </is>
      </c>
      <c r="E652" s="6" t="inlineStr">
        <is>
          <t>成长树运动馆</t>
        </is>
      </c>
      <c r="F652" s="7" t="n">
        <v>35200</v>
      </c>
      <c r="G652" s="7" t="n">
        <v>18400</v>
      </c>
      <c r="H652" s="7" t="n">
        <v>16800</v>
      </c>
      <c r="I652" s="8" t="n">
        <v>0.4772727272727273</v>
      </c>
    </row>
    <row r="653">
      <c r="A653" s="6" t="inlineStr">
        <is>
          <t>2025-07</t>
        </is>
      </c>
      <c r="B653" s="6" t="inlineStr">
        <is>
          <t>训练服饰</t>
        </is>
      </c>
      <c r="C653" s="6" t="inlineStr">
        <is>
          <t>华南</t>
        </is>
      </c>
      <c r="D653" s="6" t="inlineStr">
        <is>
          <t>李娜</t>
        </is>
      </c>
      <c r="E653" s="6" t="inlineStr">
        <is>
          <t>启航健身中心</t>
        </is>
      </c>
      <c r="F653" s="7" t="n">
        <v>36200</v>
      </c>
      <c r="G653" s="7" t="n">
        <v>18900</v>
      </c>
      <c r="H653" s="7" t="n">
        <v>17300</v>
      </c>
      <c r="I653" s="8" t="n">
        <v>0.4779005524861878</v>
      </c>
    </row>
    <row r="654">
      <c r="A654" s="6" t="inlineStr">
        <is>
          <t>2025-07</t>
        </is>
      </c>
      <c r="B654" s="6" t="inlineStr">
        <is>
          <t>训练服饰</t>
        </is>
      </c>
      <c r="C654" s="6" t="inlineStr">
        <is>
          <t>华南</t>
        </is>
      </c>
      <c r="D654" s="6" t="inlineStr">
        <is>
          <t>王芳</t>
        </is>
      </c>
      <c r="E654" s="6" t="inlineStr">
        <is>
          <t>超能体育</t>
        </is>
      </c>
      <c r="F654" s="7" t="n">
        <v>43100</v>
      </c>
      <c r="G654" s="7" t="n">
        <v>25000</v>
      </c>
      <c r="H654" s="7" t="n">
        <v>18100</v>
      </c>
      <c r="I654" s="8" t="n">
        <v>0.419953596287703</v>
      </c>
    </row>
    <row r="655">
      <c r="A655" s="6" t="inlineStr">
        <is>
          <t>2025-07</t>
        </is>
      </c>
      <c r="B655" s="6" t="inlineStr">
        <is>
          <t>训练服饰</t>
        </is>
      </c>
      <c r="C655" s="6" t="inlineStr">
        <is>
          <t>华南</t>
        </is>
      </c>
      <c r="D655" s="6" t="inlineStr">
        <is>
          <t>刘强</t>
        </is>
      </c>
      <c r="E655" s="6" t="inlineStr">
        <is>
          <t>纵横运动</t>
        </is>
      </c>
      <c r="F655" s="7" t="n">
        <v>39100</v>
      </c>
      <c r="G655" s="7" t="n">
        <v>22500</v>
      </c>
      <c r="H655" s="7" t="n">
        <v>16600</v>
      </c>
      <c r="I655" s="8" t="n">
        <v>0.4245524296675192</v>
      </c>
    </row>
    <row r="656">
      <c r="A656" s="6" t="inlineStr">
        <is>
          <t>2025-07</t>
        </is>
      </c>
      <c r="B656" s="6" t="inlineStr">
        <is>
          <t>训练服饰</t>
        </is>
      </c>
      <c r="C656" s="6" t="inlineStr">
        <is>
          <t>华南</t>
        </is>
      </c>
      <c r="D656" s="6" t="inlineStr">
        <is>
          <t>陈静</t>
        </is>
      </c>
      <c r="E656" s="6" t="inlineStr">
        <is>
          <t>领跑体育</t>
        </is>
      </c>
      <c r="F656" s="7" t="n">
        <v>41500</v>
      </c>
      <c r="G656" s="7" t="n">
        <v>22200</v>
      </c>
      <c r="H656" s="7" t="n">
        <v>19300</v>
      </c>
      <c r="I656" s="8" t="n">
        <v>0.4650602409638554</v>
      </c>
    </row>
    <row r="657">
      <c r="A657" s="6" t="inlineStr">
        <is>
          <t>2025-07</t>
        </is>
      </c>
      <c r="B657" s="6" t="inlineStr">
        <is>
          <t>训练服饰</t>
        </is>
      </c>
      <c r="C657" s="6" t="inlineStr">
        <is>
          <t>西部</t>
        </is>
      </c>
      <c r="D657" s="6" t="inlineStr">
        <is>
          <t>张伟</t>
        </is>
      </c>
      <c r="E657" s="6" t="inlineStr">
        <is>
          <t>星跃体育</t>
        </is>
      </c>
      <c r="F657" s="7" t="n">
        <v>26400</v>
      </c>
      <c r="G657" s="7" t="n">
        <v>14800</v>
      </c>
      <c r="H657" s="7" t="n">
        <v>11600</v>
      </c>
      <c r="I657" s="8" t="n">
        <v>0.4393939393939394</v>
      </c>
    </row>
    <row r="658">
      <c r="A658" s="6" t="inlineStr">
        <is>
          <t>2025-07</t>
        </is>
      </c>
      <c r="B658" s="6" t="inlineStr">
        <is>
          <t>训练服饰</t>
        </is>
      </c>
      <c r="C658" s="6" t="inlineStr">
        <is>
          <t>西部</t>
        </is>
      </c>
      <c r="D658" s="6" t="inlineStr">
        <is>
          <t>李娜</t>
        </is>
      </c>
      <c r="E658" s="6" t="inlineStr">
        <is>
          <t>篮途体育文化</t>
        </is>
      </c>
      <c r="F658" s="7" t="n">
        <v>27200</v>
      </c>
      <c r="G658" s="7" t="n">
        <v>14800</v>
      </c>
      <c r="H658" s="7" t="n">
        <v>12400</v>
      </c>
      <c r="I658" s="8" t="n">
        <v>0.4558823529411765</v>
      </c>
    </row>
    <row r="659">
      <c r="A659" s="6" t="inlineStr">
        <is>
          <t>2025-07</t>
        </is>
      </c>
      <c r="B659" s="6" t="inlineStr">
        <is>
          <t>训练服饰</t>
        </is>
      </c>
      <c r="C659" s="6" t="inlineStr">
        <is>
          <t>西部</t>
        </is>
      </c>
      <c r="D659" s="6" t="inlineStr">
        <is>
          <t>王芳</t>
        </is>
      </c>
      <c r="E659" s="6" t="inlineStr">
        <is>
          <t>康威运动商城</t>
        </is>
      </c>
      <c r="F659" s="7" t="n">
        <v>23900</v>
      </c>
      <c r="G659" s="7" t="n">
        <v>13800</v>
      </c>
      <c r="H659" s="7" t="n">
        <v>10100</v>
      </c>
      <c r="I659" s="8" t="n">
        <v>0.4225941422594142</v>
      </c>
    </row>
    <row r="660">
      <c r="A660" s="6" t="inlineStr">
        <is>
          <t>2025-07</t>
        </is>
      </c>
      <c r="B660" s="6" t="inlineStr">
        <is>
          <t>训练服饰</t>
        </is>
      </c>
      <c r="C660" s="6" t="inlineStr">
        <is>
          <t>西部</t>
        </is>
      </c>
      <c r="D660" s="6" t="inlineStr">
        <is>
          <t>刘强</t>
        </is>
      </c>
      <c r="E660" s="6" t="inlineStr">
        <is>
          <t>优加体能中心</t>
        </is>
      </c>
      <c r="F660" s="7" t="n">
        <v>24000</v>
      </c>
      <c r="G660" s="7" t="n">
        <v>13800</v>
      </c>
      <c r="H660" s="7" t="n">
        <v>10200</v>
      </c>
      <c r="I660" s="8" t="n">
        <v>0.425</v>
      </c>
    </row>
    <row r="661">
      <c r="A661" s="6" t="inlineStr">
        <is>
          <t>2025-07</t>
        </is>
      </c>
      <c r="B661" s="6" t="inlineStr">
        <is>
          <t>训练服饰</t>
        </is>
      </c>
      <c r="C661" s="6" t="inlineStr">
        <is>
          <t>西部</t>
        </is>
      </c>
      <c r="D661" s="6" t="inlineStr">
        <is>
          <t>陈静</t>
        </is>
      </c>
      <c r="E661" s="6" t="inlineStr">
        <is>
          <t>风尚健身</t>
        </is>
      </c>
      <c r="F661" s="7" t="n">
        <v>22300</v>
      </c>
      <c r="G661" s="7" t="n">
        <v>12800</v>
      </c>
      <c r="H661" s="7" t="n">
        <v>9500</v>
      </c>
      <c r="I661" s="8" t="n">
        <v>0.4260089686098655</v>
      </c>
    </row>
    <row r="662">
      <c r="A662" s="6" t="inlineStr">
        <is>
          <t>2025-07</t>
        </is>
      </c>
      <c r="B662" s="6" t="inlineStr">
        <is>
          <t>营养补给</t>
        </is>
      </c>
      <c r="C662" s="6" t="inlineStr">
        <is>
          <t>华东</t>
        </is>
      </c>
      <c r="D662" s="6" t="inlineStr">
        <is>
          <t>张伟</t>
        </is>
      </c>
      <c r="E662" s="6" t="inlineStr">
        <is>
          <t>领跑体育</t>
        </is>
      </c>
      <c r="F662" s="7" t="n">
        <v>51800</v>
      </c>
      <c r="G662" s="7" t="n">
        <v>38200</v>
      </c>
      <c r="H662" s="7" t="n">
        <v>13600</v>
      </c>
      <c r="I662" s="8" t="n">
        <v>0.2625482625482625</v>
      </c>
    </row>
    <row r="663">
      <c r="A663" s="6" t="inlineStr">
        <is>
          <t>2025-07</t>
        </is>
      </c>
      <c r="B663" s="6" t="inlineStr">
        <is>
          <t>营养补给</t>
        </is>
      </c>
      <c r="C663" s="6" t="inlineStr">
        <is>
          <t>华东</t>
        </is>
      </c>
      <c r="D663" s="6" t="inlineStr">
        <is>
          <t>李娜</t>
        </is>
      </c>
      <c r="E663" s="6" t="inlineStr">
        <is>
          <t>极客穿戴</t>
        </is>
      </c>
      <c r="F663" s="7" t="n">
        <v>66000</v>
      </c>
      <c r="G663" s="7" t="n">
        <v>50000</v>
      </c>
      <c r="H663" s="7" t="n">
        <v>16000</v>
      </c>
      <c r="I663" s="8" t="n">
        <v>0.2424242424242424</v>
      </c>
    </row>
    <row r="664">
      <c r="A664" s="6" t="inlineStr">
        <is>
          <t>2025-07</t>
        </is>
      </c>
      <c r="B664" s="6" t="inlineStr">
        <is>
          <t>营养补给</t>
        </is>
      </c>
      <c r="C664" s="6" t="inlineStr">
        <is>
          <t>华东</t>
        </is>
      </c>
      <c r="D664" s="6" t="inlineStr">
        <is>
          <t>王芳</t>
        </is>
      </c>
      <c r="E664" s="6" t="inlineStr">
        <is>
          <t>纵横运动</t>
        </is>
      </c>
      <c r="F664" s="7" t="n">
        <v>53600</v>
      </c>
      <c r="G664" s="7" t="n">
        <v>41300</v>
      </c>
      <c r="H664" s="7" t="n">
        <v>12300</v>
      </c>
      <c r="I664" s="8" t="n">
        <v>0.2294776119402985</v>
      </c>
    </row>
    <row r="665">
      <c r="A665" s="6" t="inlineStr">
        <is>
          <t>2025-07</t>
        </is>
      </c>
      <c r="B665" s="6" t="inlineStr">
        <is>
          <t>营养补给</t>
        </is>
      </c>
      <c r="C665" s="6" t="inlineStr">
        <is>
          <t>华东</t>
        </is>
      </c>
      <c r="D665" s="6" t="inlineStr">
        <is>
          <t>刘强</t>
        </is>
      </c>
      <c r="E665" s="6" t="inlineStr">
        <is>
          <t>优加体能中心</t>
        </is>
      </c>
      <c r="F665" s="7" t="n">
        <v>49600</v>
      </c>
      <c r="G665" s="7" t="n">
        <v>37400</v>
      </c>
      <c r="H665" s="7" t="n">
        <v>12200</v>
      </c>
      <c r="I665" s="8" t="n">
        <v>0.2459677419354839</v>
      </c>
    </row>
    <row r="666">
      <c r="A666" s="6" t="inlineStr">
        <is>
          <t>2025-07</t>
        </is>
      </c>
      <c r="B666" s="6" t="inlineStr">
        <is>
          <t>营养补给</t>
        </is>
      </c>
      <c r="C666" s="6" t="inlineStr">
        <is>
          <t>华东</t>
        </is>
      </c>
      <c r="D666" s="6" t="inlineStr">
        <is>
          <t>陈静</t>
        </is>
      </c>
      <c r="E666" s="6" t="inlineStr">
        <is>
          <t>冠军之路俱乐部</t>
        </is>
      </c>
      <c r="F666" s="7" t="n">
        <v>51600</v>
      </c>
      <c r="G666" s="7" t="n">
        <v>38900</v>
      </c>
      <c r="H666" s="7" t="n">
        <v>12700</v>
      </c>
      <c r="I666" s="8" t="n">
        <v>0.2461240310077519</v>
      </c>
    </row>
    <row r="667">
      <c r="A667" s="6" t="inlineStr">
        <is>
          <t>2025-07</t>
        </is>
      </c>
      <c r="B667" s="6" t="inlineStr">
        <is>
          <t>营养补给</t>
        </is>
      </c>
      <c r="C667" s="6" t="inlineStr">
        <is>
          <t>华北</t>
        </is>
      </c>
      <c r="D667" s="6" t="inlineStr">
        <is>
          <t>张伟</t>
        </is>
      </c>
      <c r="E667" s="6" t="inlineStr">
        <is>
          <t>锋行体育</t>
        </is>
      </c>
      <c r="F667" s="7" t="n">
        <v>40600</v>
      </c>
      <c r="G667" s="7" t="n">
        <v>30400</v>
      </c>
      <c r="H667" s="7" t="n">
        <v>10200</v>
      </c>
      <c r="I667" s="8" t="n">
        <v>0.2512315270935961</v>
      </c>
    </row>
    <row r="668">
      <c r="A668" s="6" t="inlineStr">
        <is>
          <t>2025-07</t>
        </is>
      </c>
      <c r="B668" s="6" t="inlineStr">
        <is>
          <t>营养补给</t>
        </is>
      </c>
      <c r="C668" s="6" t="inlineStr">
        <is>
          <t>华北</t>
        </is>
      </c>
      <c r="D668" s="6" t="inlineStr">
        <is>
          <t>李娜</t>
        </is>
      </c>
      <c r="E668" s="6" t="inlineStr">
        <is>
          <t>元气营养</t>
        </is>
      </c>
      <c r="F668" s="7" t="n">
        <v>44300</v>
      </c>
      <c r="G668" s="7" t="n">
        <v>32200</v>
      </c>
      <c r="H668" s="7" t="n">
        <v>12100</v>
      </c>
      <c r="I668" s="8" t="n">
        <v>0.27313769751693</v>
      </c>
    </row>
    <row r="669">
      <c r="A669" s="6" t="inlineStr">
        <is>
          <t>2025-07</t>
        </is>
      </c>
      <c r="B669" s="6" t="inlineStr">
        <is>
          <t>营养补给</t>
        </is>
      </c>
      <c r="C669" s="6" t="inlineStr">
        <is>
          <t>华北</t>
        </is>
      </c>
      <c r="D669" s="6" t="inlineStr">
        <is>
          <t>王芳</t>
        </is>
      </c>
      <c r="E669" s="6" t="inlineStr">
        <is>
          <t>健将体育</t>
        </is>
      </c>
      <c r="F669" s="7" t="n">
        <v>44300</v>
      </c>
      <c r="G669" s="7" t="n">
        <v>34300</v>
      </c>
      <c r="H669" s="7" t="n">
        <v>10000</v>
      </c>
      <c r="I669" s="8" t="n">
        <v>0.2257336343115124</v>
      </c>
    </row>
    <row r="670">
      <c r="A670" s="6" t="inlineStr">
        <is>
          <t>2025-07</t>
        </is>
      </c>
      <c r="B670" s="6" t="inlineStr">
        <is>
          <t>营养补给</t>
        </is>
      </c>
      <c r="C670" s="6" t="inlineStr">
        <is>
          <t>华北</t>
        </is>
      </c>
      <c r="D670" s="6" t="inlineStr">
        <is>
          <t>刘强</t>
        </is>
      </c>
      <c r="E670" s="6" t="inlineStr">
        <is>
          <t>小飞侠运动俱乐部</t>
        </is>
      </c>
      <c r="F670" s="7" t="n">
        <v>42400</v>
      </c>
      <c r="G670" s="7" t="n">
        <v>31000</v>
      </c>
      <c r="H670" s="7" t="n">
        <v>11400</v>
      </c>
      <c r="I670" s="8" t="n">
        <v>0.2688679245283019</v>
      </c>
    </row>
    <row r="671">
      <c r="A671" s="6" t="inlineStr">
        <is>
          <t>2025-07</t>
        </is>
      </c>
      <c r="B671" s="6" t="inlineStr">
        <is>
          <t>营养补给</t>
        </is>
      </c>
      <c r="C671" s="6" t="inlineStr">
        <is>
          <t>华北</t>
        </is>
      </c>
      <c r="D671" s="6" t="inlineStr">
        <is>
          <t>陈静</t>
        </is>
      </c>
      <c r="E671" s="6" t="inlineStr">
        <is>
          <t>健将体育</t>
        </is>
      </c>
      <c r="F671" s="7" t="n">
        <v>43600</v>
      </c>
      <c r="G671" s="7" t="n">
        <v>33400</v>
      </c>
      <c r="H671" s="7" t="n">
        <v>10200</v>
      </c>
      <c r="I671" s="8" t="n">
        <v>0.2339449541284404</v>
      </c>
    </row>
    <row r="672">
      <c r="A672" s="6" t="inlineStr">
        <is>
          <t>2025-07</t>
        </is>
      </c>
      <c r="B672" s="6" t="inlineStr">
        <is>
          <t>营养补给</t>
        </is>
      </c>
      <c r="C672" s="6" t="inlineStr">
        <is>
          <t>华南</t>
        </is>
      </c>
      <c r="D672" s="6" t="inlineStr">
        <is>
          <t>张伟</t>
        </is>
      </c>
      <c r="E672" s="6" t="inlineStr">
        <is>
          <t>纵横运动</t>
        </is>
      </c>
      <c r="F672" s="7" t="n">
        <v>47200</v>
      </c>
      <c r="G672" s="7" t="n">
        <v>36200</v>
      </c>
      <c r="H672" s="7" t="n">
        <v>11000</v>
      </c>
      <c r="I672" s="8" t="n">
        <v>0.2330508474576271</v>
      </c>
    </row>
    <row r="673">
      <c r="A673" s="6" t="inlineStr">
        <is>
          <t>2025-07</t>
        </is>
      </c>
      <c r="B673" s="6" t="inlineStr">
        <is>
          <t>营养补给</t>
        </is>
      </c>
      <c r="C673" s="6" t="inlineStr">
        <is>
          <t>华南</t>
        </is>
      </c>
      <c r="D673" s="6" t="inlineStr">
        <is>
          <t>李娜</t>
        </is>
      </c>
      <c r="E673" s="6" t="inlineStr">
        <is>
          <t>风云篮球馆</t>
        </is>
      </c>
      <c r="F673" s="7" t="n">
        <v>46200</v>
      </c>
      <c r="G673" s="7" t="n">
        <v>34600</v>
      </c>
      <c r="H673" s="7" t="n">
        <v>11600</v>
      </c>
      <c r="I673" s="8" t="n">
        <v>0.2510822510822511</v>
      </c>
    </row>
    <row r="674">
      <c r="A674" s="6" t="inlineStr">
        <is>
          <t>2025-07</t>
        </is>
      </c>
      <c r="B674" s="6" t="inlineStr">
        <is>
          <t>营养补给</t>
        </is>
      </c>
      <c r="C674" s="6" t="inlineStr">
        <is>
          <t>华南</t>
        </is>
      </c>
      <c r="D674" s="6" t="inlineStr">
        <is>
          <t>王芳</t>
        </is>
      </c>
      <c r="E674" s="6" t="inlineStr">
        <is>
          <t>纵横运动</t>
        </is>
      </c>
      <c r="F674" s="7" t="n">
        <v>58400</v>
      </c>
      <c r="G674" s="7" t="n">
        <v>44600</v>
      </c>
      <c r="H674" s="7" t="n">
        <v>13800</v>
      </c>
      <c r="I674" s="8" t="n">
        <v>0.2363013698630137</v>
      </c>
    </row>
    <row r="675">
      <c r="A675" s="6" t="inlineStr">
        <is>
          <t>2025-07</t>
        </is>
      </c>
      <c r="B675" s="6" t="inlineStr">
        <is>
          <t>营养补给</t>
        </is>
      </c>
      <c r="C675" s="6" t="inlineStr">
        <is>
          <t>华南</t>
        </is>
      </c>
      <c r="D675" s="6" t="inlineStr">
        <is>
          <t>刘强</t>
        </is>
      </c>
      <c r="E675" s="6" t="inlineStr">
        <is>
          <t>阳光体能</t>
        </is>
      </c>
      <c r="F675" s="7" t="n">
        <v>42900</v>
      </c>
      <c r="G675" s="7" t="n">
        <v>31900</v>
      </c>
      <c r="H675" s="7" t="n">
        <v>11000</v>
      </c>
      <c r="I675" s="8" t="n">
        <v>0.2564102564102564</v>
      </c>
    </row>
    <row r="676">
      <c r="A676" s="6" t="inlineStr">
        <is>
          <t>2025-07</t>
        </is>
      </c>
      <c r="B676" s="6" t="inlineStr">
        <is>
          <t>营养补给</t>
        </is>
      </c>
      <c r="C676" s="6" t="inlineStr">
        <is>
          <t>华南</t>
        </is>
      </c>
      <c r="D676" s="6" t="inlineStr">
        <is>
          <t>陈静</t>
        </is>
      </c>
      <c r="E676" s="6" t="inlineStr">
        <is>
          <t>巅峰运动</t>
        </is>
      </c>
      <c r="F676" s="7" t="n">
        <v>45300</v>
      </c>
      <c r="G676" s="7" t="n">
        <v>32700</v>
      </c>
      <c r="H676" s="7" t="n">
        <v>12600</v>
      </c>
      <c r="I676" s="8" t="n">
        <v>0.2781456953642384</v>
      </c>
    </row>
    <row r="677">
      <c r="A677" s="6" t="inlineStr">
        <is>
          <t>2025-07</t>
        </is>
      </c>
      <c r="B677" s="6" t="inlineStr">
        <is>
          <t>营养补给</t>
        </is>
      </c>
      <c r="C677" s="6" t="inlineStr">
        <is>
          <t>西部</t>
        </is>
      </c>
      <c r="D677" s="6" t="inlineStr">
        <is>
          <t>张伟</t>
        </is>
      </c>
      <c r="E677" s="6" t="inlineStr">
        <is>
          <t>强体体育</t>
        </is>
      </c>
      <c r="F677" s="7" t="n">
        <v>34000</v>
      </c>
      <c r="G677" s="7" t="n">
        <v>24600</v>
      </c>
      <c r="H677" s="7" t="n">
        <v>9400</v>
      </c>
      <c r="I677" s="8" t="n">
        <v>0.2764705882352941</v>
      </c>
    </row>
    <row r="678">
      <c r="A678" s="6" t="inlineStr">
        <is>
          <t>2025-07</t>
        </is>
      </c>
      <c r="B678" s="6" t="inlineStr">
        <is>
          <t>营养补给</t>
        </is>
      </c>
      <c r="C678" s="6" t="inlineStr">
        <is>
          <t>西部</t>
        </is>
      </c>
      <c r="D678" s="6" t="inlineStr">
        <is>
          <t>李娜</t>
        </is>
      </c>
      <c r="E678" s="6" t="inlineStr">
        <is>
          <t>跃动少儿运动馆</t>
        </is>
      </c>
      <c r="F678" s="7" t="n">
        <v>33300</v>
      </c>
      <c r="G678" s="7" t="n">
        <v>25100</v>
      </c>
      <c r="H678" s="7" t="n">
        <v>8200</v>
      </c>
      <c r="I678" s="8" t="n">
        <v>0.2462462462462462</v>
      </c>
    </row>
    <row r="679">
      <c r="A679" s="6" t="inlineStr">
        <is>
          <t>2025-07</t>
        </is>
      </c>
      <c r="B679" s="6" t="inlineStr">
        <is>
          <t>营养补给</t>
        </is>
      </c>
      <c r="C679" s="6" t="inlineStr">
        <is>
          <t>西部</t>
        </is>
      </c>
      <c r="D679" s="6" t="inlineStr">
        <is>
          <t>王芳</t>
        </is>
      </c>
      <c r="E679" s="6" t="inlineStr">
        <is>
          <t>成长树运动馆</t>
        </is>
      </c>
      <c r="F679" s="7" t="n">
        <v>29400</v>
      </c>
      <c r="G679" s="7" t="n">
        <v>22300</v>
      </c>
      <c r="H679" s="7" t="n">
        <v>7100</v>
      </c>
      <c r="I679" s="8" t="n">
        <v>0.2414965986394558</v>
      </c>
    </row>
    <row r="680">
      <c r="A680" s="6" t="inlineStr">
        <is>
          <t>2025-07</t>
        </is>
      </c>
      <c r="B680" s="6" t="inlineStr">
        <is>
          <t>营养补给</t>
        </is>
      </c>
      <c r="C680" s="6" t="inlineStr">
        <is>
          <t>西部</t>
        </is>
      </c>
      <c r="D680" s="6" t="inlineStr">
        <is>
          <t>刘强</t>
        </is>
      </c>
      <c r="E680" s="6" t="inlineStr">
        <is>
          <t>腾飞体育用品</t>
        </is>
      </c>
      <c r="F680" s="7" t="n">
        <v>25500</v>
      </c>
      <c r="G680" s="7" t="n">
        <v>19900</v>
      </c>
      <c r="H680" s="7" t="n">
        <v>5600</v>
      </c>
      <c r="I680" s="8" t="n">
        <v>0.2196078431372549</v>
      </c>
    </row>
    <row r="681">
      <c r="A681" s="6" t="inlineStr">
        <is>
          <t>2025-07</t>
        </is>
      </c>
      <c r="B681" s="6" t="inlineStr">
        <is>
          <t>营养补给</t>
        </is>
      </c>
      <c r="C681" s="6" t="inlineStr">
        <is>
          <t>西部</t>
        </is>
      </c>
      <c r="D681" s="6" t="inlineStr">
        <is>
          <t>陈静</t>
        </is>
      </c>
      <c r="E681" s="6" t="inlineStr">
        <is>
          <t>锐健身工作室</t>
        </is>
      </c>
      <c r="F681" s="7" t="n">
        <v>34400</v>
      </c>
      <c r="G681" s="7" t="n">
        <v>26300</v>
      </c>
      <c r="H681" s="7" t="n">
        <v>8100</v>
      </c>
      <c r="I681" s="8" t="n">
        <v>0.2354651162790698</v>
      </c>
    </row>
    <row r="682">
      <c r="A682" s="6" t="inlineStr">
        <is>
          <t>2025-07</t>
        </is>
      </c>
      <c r="B682" s="6" t="inlineStr">
        <is>
          <t>智能穿戴</t>
        </is>
      </c>
      <c r="C682" s="6" t="inlineStr">
        <is>
          <t>华东</t>
        </is>
      </c>
      <c r="D682" s="6" t="inlineStr">
        <is>
          <t>张伟</t>
        </is>
      </c>
      <c r="E682" s="6" t="inlineStr">
        <is>
          <t>环宇体育</t>
        </is>
      </c>
      <c r="F682" s="7" t="n">
        <v>87200</v>
      </c>
      <c r="G682" s="7" t="n">
        <v>54800</v>
      </c>
      <c r="H682" s="7" t="n">
        <v>32400</v>
      </c>
      <c r="I682" s="8" t="n">
        <v>0.3715596330275229</v>
      </c>
    </row>
    <row r="683">
      <c r="A683" s="6" t="inlineStr">
        <is>
          <t>2025-07</t>
        </is>
      </c>
      <c r="B683" s="6" t="inlineStr">
        <is>
          <t>智能穿戴</t>
        </is>
      </c>
      <c r="C683" s="6" t="inlineStr">
        <is>
          <t>华东</t>
        </is>
      </c>
      <c r="D683" s="6" t="inlineStr">
        <is>
          <t>李娜</t>
        </is>
      </c>
      <c r="E683" s="6" t="inlineStr">
        <is>
          <t>风尚健身</t>
        </is>
      </c>
      <c r="F683" s="7" t="n">
        <v>89000</v>
      </c>
      <c r="G683" s="7" t="n">
        <v>56200</v>
      </c>
      <c r="H683" s="7" t="n">
        <v>32800</v>
      </c>
      <c r="I683" s="8" t="n">
        <v>0.3685393258426966</v>
      </c>
    </row>
    <row r="684">
      <c r="A684" s="6" t="inlineStr">
        <is>
          <t>2025-07</t>
        </is>
      </c>
      <c r="B684" s="6" t="inlineStr">
        <is>
          <t>智能穿戴</t>
        </is>
      </c>
      <c r="C684" s="6" t="inlineStr">
        <is>
          <t>华东</t>
        </is>
      </c>
      <c r="D684" s="6" t="inlineStr">
        <is>
          <t>王芳</t>
        </is>
      </c>
      <c r="E684" s="6" t="inlineStr">
        <is>
          <t>领跑体育</t>
        </is>
      </c>
      <c r="F684" s="7" t="n">
        <v>98600</v>
      </c>
      <c r="G684" s="7" t="n">
        <v>60000</v>
      </c>
      <c r="H684" s="7" t="n">
        <v>38600</v>
      </c>
      <c r="I684" s="8" t="n">
        <v>0.3914807302231237</v>
      </c>
    </row>
    <row r="685">
      <c r="A685" s="6" t="inlineStr">
        <is>
          <t>2025-07</t>
        </is>
      </c>
      <c r="B685" s="6" t="inlineStr">
        <is>
          <t>智能穿戴</t>
        </is>
      </c>
      <c r="C685" s="6" t="inlineStr">
        <is>
          <t>华东</t>
        </is>
      </c>
      <c r="D685" s="6" t="inlineStr">
        <is>
          <t>刘强</t>
        </is>
      </c>
      <c r="E685" s="6" t="inlineStr">
        <is>
          <t>阳光体能</t>
        </is>
      </c>
      <c r="F685" s="7" t="n">
        <v>74800</v>
      </c>
      <c r="G685" s="7" t="n">
        <v>47100</v>
      </c>
      <c r="H685" s="7" t="n">
        <v>27700</v>
      </c>
      <c r="I685" s="8" t="n">
        <v>0.3703208556149732</v>
      </c>
    </row>
    <row r="686">
      <c r="A686" s="6" t="inlineStr">
        <is>
          <t>2025-07</t>
        </is>
      </c>
      <c r="B686" s="6" t="inlineStr">
        <is>
          <t>智能穿戴</t>
        </is>
      </c>
      <c r="C686" s="6" t="inlineStr">
        <is>
          <t>华东</t>
        </is>
      </c>
      <c r="D686" s="6" t="inlineStr">
        <is>
          <t>陈静</t>
        </is>
      </c>
      <c r="E686" s="6" t="inlineStr">
        <is>
          <t>智练体育</t>
        </is>
      </c>
      <c r="F686" s="7" t="n">
        <v>88900</v>
      </c>
      <c r="G686" s="7" t="n">
        <v>56600</v>
      </c>
      <c r="H686" s="7" t="n">
        <v>32300</v>
      </c>
      <c r="I686" s="8" t="n">
        <v>0.3633295838020247</v>
      </c>
    </row>
    <row r="687">
      <c r="A687" s="6" t="inlineStr">
        <is>
          <t>2025-07</t>
        </is>
      </c>
      <c r="B687" s="6" t="inlineStr">
        <is>
          <t>智能穿戴</t>
        </is>
      </c>
      <c r="C687" s="6" t="inlineStr">
        <is>
          <t>华北</t>
        </is>
      </c>
      <c r="D687" s="6" t="inlineStr">
        <is>
          <t>张伟</t>
        </is>
      </c>
      <c r="E687" s="6" t="inlineStr">
        <is>
          <t>环宇体育</t>
        </is>
      </c>
      <c r="F687" s="7" t="n">
        <v>63300</v>
      </c>
      <c r="G687" s="7" t="n">
        <v>37600</v>
      </c>
      <c r="H687" s="7" t="n">
        <v>25700</v>
      </c>
      <c r="I687" s="8" t="n">
        <v>0.4060031595576619</v>
      </c>
    </row>
    <row r="688">
      <c r="A688" s="6" t="inlineStr">
        <is>
          <t>2025-07</t>
        </is>
      </c>
      <c r="B688" s="6" t="inlineStr">
        <is>
          <t>智能穿戴</t>
        </is>
      </c>
      <c r="C688" s="6" t="inlineStr">
        <is>
          <t>华北</t>
        </is>
      </c>
      <c r="D688" s="6" t="inlineStr">
        <is>
          <t>李娜</t>
        </is>
      </c>
      <c r="E688" s="6" t="inlineStr">
        <is>
          <t>冠军之路俱乐部</t>
        </is>
      </c>
      <c r="F688" s="7" t="n">
        <v>60800</v>
      </c>
      <c r="G688" s="7" t="n">
        <v>37300</v>
      </c>
      <c r="H688" s="7" t="n">
        <v>23500</v>
      </c>
      <c r="I688" s="8" t="n">
        <v>0.3865131578947368</v>
      </c>
    </row>
    <row r="689">
      <c r="A689" s="6" t="inlineStr">
        <is>
          <t>2025-07</t>
        </is>
      </c>
      <c r="B689" s="6" t="inlineStr">
        <is>
          <t>智能穿戴</t>
        </is>
      </c>
      <c r="C689" s="6" t="inlineStr">
        <is>
          <t>华北</t>
        </is>
      </c>
      <c r="D689" s="6" t="inlineStr">
        <is>
          <t>王芳</t>
        </is>
      </c>
      <c r="E689" s="6" t="inlineStr">
        <is>
          <t>恒康营养</t>
        </is>
      </c>
      <c r="F689" s="7" t="n">
        <v>68500</v>
      </c>
      <c r="G689" s="7" t="n">
        <v>43200</v>
      </c>
      <c r="H689" s="7" t="n">
        <v>25300</v>
      </c>
      <c r="I689" s="8" t="n">
        <v>0.3693430656934307</v>
      </c>
    </row>
    <row r="690">
      <c r="A690" s="6" t="inlineStr">
        <is>
          <t>2025-07</t>
        </is>
      </c>
      <c r="B690" s="6" t="inlineStr">
        <is>
          <t>智能穿戴</t>
        </is>
      </c>
      <c r="C690" s="6" t="inlineStr">
        <is>
          <t>华北</t>
        </is>
      </c>
      <c r="D690" s="6" t="inlineStr">
        <is>
          <t>刘强</t>
        </is>
      </c>
      <c r="E690" s="6" t="inlineStr">
        <is>
          <t>领跑体育</t>
        </is>
      </c>
      <c r="F690" s="7" t="n">
        <v>62800</v>
      </c>
      <c r="G690" s="7" t="n">
        <v>40400</v>
      </c>
      <c r="H690" s="7" t="n">
        <v>22400</v>
      </c>
      <c r="I690" s="8" t="n">
        <v>0.356687898089172</v>
      </c>
    </row>
    <row r="691">
      <c r="A691" s="6" t="inlineStr">
        <is>
          <t>2025-07</t>
        </is>
      </c>
      <c r="B691" s="6" t="inlineStr">
        <is>
          <t>智能穿戴</t>
        </is>
      </c>
      <c r="C691" s="6" t="inlineStr">
        <is>
          <t>华北</t>
        </is>
      </c>
      <c r="D691" s="6" t="inlineStr">
        <is>
          <t>陈静</t>
        </is>
      </c>
      <c r="E691" s="6" t="inlineStr">
        <is>
          <t>雷霆篮球</t>
        </is>
      </c>
      <c r="F691" s="7" t="n">
        <v>65900</v>
      </c>
      <c r="G691" s="7" t="n">
        <v>39600</v>
      </c>
      <c r="H691" s="7" t="n">
        <v>26300</v>
      </c>
      <c r="I691" s="8" t="n">
        <v>0.3990895295902883</v>
      </c>
    </row>
    <row r="692">
      <c r="A692" s="6" t="inlineStr">
        <is>
          <t>2025-07</t>
        </is>
      </c>
      <c r="B692" s="6" t="inlineStr">
        <is>
          <t>智能穿戴</t>
        </is>
      </c>
      <c r="C692" s="6" t="inlineStr">
        <is>
          <t>华南</t>
        </is>
      </c>
      <c r="D692" s="6" t="inlineStr">
        <is>
          <t>张伟</t>
        </is>
      </c>
      <c r="E692" s="6" t="inlineStr">
        <is>
          <t>健将体育</t>
        </is>
      </c>
      <c r="F692" s="7" t="n">
        <v>69900</v>
      </c>
      <c r="G692" s="7" t="n">
        <v>42600</v>
      </c>
      <c r="H692" s="7" t="n">
        <v>27300</v>
      </c>
      <c r="I692" s="8" t="n">
        <v>0.3905579399141631</v>
      </c>
    </row>
    <row r="693">
      <c r="A693" s="6" t="inlineStr">
        <is>
          <t>2025-07</t>
        </is>
      </c>
      <c r="B693" s="6" t="inlineStr">
        <is>
          <t>智能穿戴</t>
        </is>
      </c>
      <c r="C693" s="6" t="inlineStr">
        <is>
          <t>华南</t>
        </is>
      </c>
      <c r="D693" s="6" t="inlineStr">
        <is>
          <t>李娜</t>
        </is>
      </c>
      <c r="E693" s="6" t="inlineStr">
        <is>
          <t>天天向上健身</t>
        </is>
      </c>
      <c r="F693" s="7" t="n">
        <v>77000</v>
      </c>
      <c r="G693" s="7" t="n">
        <v>47800</v>
      </c>
      <c r="H693" s="7" t="n">
        <v>29200</v>
      </c>
      <c r="I693" s="8" t="n">
        <v>0.3792207792207792</v>
      </c>
    </row>
    <row r="694">
      <c r="A694" s="6" t="inlineStr">
        <is>
          <t>2025-07</t>
        </is>
      </c>
      <c r="B694" s="6" t="inlineStr">
        <is>
          <t>智能穿戴</t>
        </is>
      </c>
      <c r="C694" s="6" t="inlineStr">
        <is>
          <t>华南</t>
        </is>
      </c>
      <c r="D694" s="6" t="inlineStr">
        <is>
          <t>王芳</t>
        </is>
      </c>
      <c r="E694" s="6" t="inlineStr">
        <is>
          <t>强体体育</t>
        </is>
      </c>
      <c r="F694" s="7" t="n">
        <v>66600</v>
      </c>
      <c r="G694" s="7" t="n">
        <v>41800</v>
      </c>
      <c r="H694" s="7" t="n">
        <v>24800</v>
      </c>
      <c r="I694" s="8" t="n">
        <v>0.3723723723723724</v>
      </c>
    </row>
    <row r="695">
      <c r="A695" s="6" t="inlineStr">
        <is>
          <t>2025-07</t>
        </is>
      </c>
      <c r="B695" s="6" t="inlineStr">
        <is>
          <t>智能穿戴</t>
        </is>
      </c>
      <c r="C695" s="6" t="inlineStr">
        <is>
          <t>华南</t>
        </is>
      </c>
      <c r="D695" s="6" t="inlineStr">
        <is>
          <t>刘强</t>
        </is>
      </c>
      <c r="E695" s="6" t="inlineStr">
        <is>
          <t>恒康营养</t>
        </is>
      </c>
      <c r="F695" s="7" t="n">
        <v>62100</v>
      </c>
      <c r="G695" s="7" t="n">
        <v>38700</v>
      </c>
      <c r="H695" s="7" t="n">
        <v>23400</v>
      </c>
      <c r="I695" s="8" t="n">
        <v>0.3768115942028986</v>
      </c>
    </row>
    <row r="696">
      <c r="A696" s="6" t="inlineStr">
        <is>
          <t>2025-07</t>
        </is>
      </c>
      <c r="B696" s="6" t="inlineStr">
        <is>
          <t>智能穿戴</t>
        </is>
      </c>
      <c r="C696" s="6" t="inlineStr">
        <is>
          <t>华南</t>
        </is>
      </c>
      <c r="D696" s="6" t="inlineStr">
        <is>
          <t>陈静</t>
        </is>
      </c>
      <c r="E696" s="6" t="inlineStr">
        <is>
          <t>腾飞体育用品</t>
        </is>
      </c>
      <c r="F696" s="7" t="n">
        <v>62200</v>
      </c>
      <c r="G696" s="7" t="n">
        <v>40400</v>
      </c>
      <c r="H696" s="7" t="n">
        <v>21800</v>
      </c>
      <c r="I696" s="8" t="n">
        <v>0.3504823151125402</v>
      </c>
    </row>
    <row r="697">
      <c r="A697" s="6" t="inlineStr">
        <is>
          <t>2025-07</t>
        </is>
      </c>
      <c r="B697" s="6" t="inlineStr">
        <is>
          <t>智能穿戴</t>
        </is>
      </c>
      <c r="C697" s="6" t="inlineStr">
        <is>
          <t>西部</t>
        </is>
      </c>
      <c r="D697" s="6" t="inlineStr">
        <is>
          <t>张伟</t>
        </is>
      </c>
      <c r="E697" s="6" t="inlineStr">
        <is>
          <t>阳光体能</t>
        </is>
      </c>
      <c r="F697" s="7" t="n">
        <v>39400</v>
      </c>
      <c r="G697" s="7" t="n">
        <v>25500</v>
      </c>
      <c r="H697" s="7" t="n">
        <v>13900</v>
      </c>
      <c r="I697" s="8" t="n">
        <v>0.3527918781725888</v>
      </c>
    </row>
    <row r="698">
      <c r="A698" s="6" t="inlineStr">
        <is>
          <t>2025-07</t>
        </is>
      </c>
      <c r="B698" s="6" t="inlineStr">
        <is>
          <t>智能穿戴</t>
        </is>
      </c>
      <c r="C698" s="6" t="inlineStr">
        <is>
          <t>西部</t>
        </is>
      </c>
      <c r="D698" s="6" t="inlineStr">
        <is>
          <t>李娜</t>
        </is>
      </c>
      <c r="E698" s="6" t="inlineStr">
        <is>
          <t>风尚健身</t>
        </is>
      </c>
      <c r="F698" s="7" t="n">
        <v>47100</v>
      </c>
      <c r="G698" s="7" t="n">
        <v>29200</v>
      </c>
      <c r="H698" s="7" t="n">
        <v>17900</v>
      </c>
      <c r="I698" s="8" t="n">
        <v>0.3800424628450106</v>
      </c>
    </row>
    <row r="699">
      <c r="A699" s="6" t="inlineStr">
        <is>
          <t>2025-07</t>
        </is>
      </c>
      <c r="B699" s="6" t="inlineStr">
        <is>
          <t>智能穿戴</t>
        </is>
      </c>
      <c r="C699" s="6" t="inlineStr">
        <is>
          <t>西部</t>
        </is>
      </c>
      <c r="D699" s="6" t="inlineStr">
        <is>
          <t>王芳</t>
        </is>
      </c>
      <c r="E699" s="6" t="inlineStr">
        <is>
          <t>小小运动家</t>
        </is>
      </c>
      <c r="F699" s="7" t="n">
        <v>45900</v>
      </c>
      <c r="G699" s="7" t="n">
        <v>28600</v>
      </c>
      <c r="H699" s="7" t="n">
        <v>17300</v>
      </c>
      <c r="I699" s="8" t="n">
        <v>0.3769063180827887</v>
      </c>
    </row>
    <row r="700">
      <c r="A700" s="6" t="inlineStr">
        <is>
          <t>2025-07</t>
        </is>
      </c>
      <c r="B700" s="6" t="inlineStr">
        <is>
          <t>智能穿戴</t>
        </is>
      </c>
      <c r="C700" s="6" t="inlineStr">
        <is>
          <t>西部</t>
        </is>
      </c>
      <c r="D700" s="6" t="inlineStr">
        <is>
          <t>刘强</t>
        </is>
      </c>
      <c r="E700" s="6" t="inlineStr">
        <is>
          <t>锋行体育</t>
        </is>
      </c>
      <c r="F700" s="7" t="n">
        <v>37100</v>
      </c>
      <c r="G700" s="7" t="n">
        <v>23200</v>
      </c>
      <c r="H700" s="7" t="n">
        <v>13900</v>
      </c>
      <c r="I700" s="8" t="n">
        <v>0.3746630727762803</v>
      </c>
    </row>
    <row r="701">
      <c r="A701" s="6" t="inlineStr">
        <is>
          <t>2025-07</t>
        </is>
      </c>
      <c r="B701" s="6" t="inlineStr">
        <is>
          <t>智能穿戴</t>
        </is>
      </c>
      <c r="C701" s="6" t="inlineStr">
        <is>
          <t>西部</t>
        </is>
      </c>
      <c r="D701" s="6" t="inlineStr">
        <is>
          <t>陈静</t>
        </is>
      </c>
      <c r="E701" s="6" t="inlineStr">
        <is>
          <t>飞跃训练营</t>
        </is>
      </c>
      <c r="F701" s="7" t="n">
        <v>36600</v>
      </c>
      <c r="G701" s="7" t="n">
        <v>22600</v>
      </c>
      <c r="H701" s="7" t="n">
        <v>14000</v>
      </c>
      <c r="I701" s="8" t="n">
        <v>0.3825136612021858</v>
      </c>
    </row>
    <row r="702">
      <c r="A702" s="6" t="inlineStr">
        <is>
          <t>2025-08</t>
        </is>
      </c>
      <c r="B702" s="6" t="inlineStr">
        <is>
          <t>篮球装备</t>
        </is>
      </c>
      <c r="C702" s="6" t="inlineStr">
        <is>
          <t>华东</t>
        </is>
      </c>
      <c r="D702" s="6" t="inlineStr">
        <is>
          <t>张伟</t>
        </is>
      </c>
      <c r="E702" s="6" t="inlineStr">
        <is>
          <t>强体体育</t>
        </is>
      </c>
      <c r="F702" s="7" t="n">
        <v>105700</v>
      </c>
      <c r="G702" s="7" t="n">
        <v>68800</v>
      </c>
      <c r="H702" s="7" t="n">
        <v>36900</v>
      </c>
      <c r="I702" s="8" t="n">
        <v>0.3491012298959319</v>
      </c>
    </row>
    <row r="703">
      <c r="A703" s="6" t="inlineStr">
        <is>
          <t>2025-08</t>
        </is>
      </c>
      <c r="B703" s="6" t="inlineStr">
        <is>
          <t>篮球装备</t>
        </is>
      </c>
      <c r="C703" s="6" t="inlineStr">
        <is>
          <t>华东</t>
        </is>
      </c>
      <c r="D703" s="6" t="inlineStr">
        <is>
          <t>李娜</t>
        </is>
      </c>
      <c r="E703" s="6" t="inlineStr">
        <is>
          <t>极客穿戴</t>
        </is>
      </c>
      <c r="F703" s="7" t="n">
        <v>111100</v>
      </c>
      <c r="G703" s="7" t="n">
        <v>71500</v>
      </c>
      <c r="H703" s="7" t="n">
        <v>39600</v>
      </c>
      <c r="I703" s="8" t="n">
        <v>0.3564356435643564</v>
      </c>
    </row>
    <row r="704">
      <c r="A704" s="6" t="inlineStr">
        <is>
          <t>2025-08</t>
        </is>
      </c>
      <c r="B704" s="6" t="inlineStr">
        <is>
          <t>篮球装备</t>
        </is>
      </c>
      <c r="C704" s="6" t="inlineStr">
        <is>
          <t>华东</t>
        </is>
      </c>
      <c r="D704" s="6" t="inlineStr">
        <is>
          <t>王芳</t>
        </is>
      </c>
      <c r="E704" s="6" t="inlineStr">
        <is>
          <t>阳光体能</t>
        </is>
      </c>
      <c r="F704" s="7" t="n">
        <v>90500</v>
      </c>
      <c r="G704" s="7" t="n">
        <v>57400</v>
      </c>
      <c r="H704" s="7" t="n">
        <v>33100</v>
      </c>
      <c r="I704" s="8" t="n">
        <v>0.3657458563535911</v>
      </c>
    </row>
    <row r="705">
      <c r="A705" s="6" t="inlineStr">
        <is>
          <t>2025-08</t>
        </is>
      </c>
      <c r="B705" s="6" t="inlineStr">
        <is>
          <t>篮球装备</t>
        </is>
      </c>
      <c r="C705" s="6" t="inlineStr">
        <is>
          <t>华东</t>
        </is>
      </c>
      <c r="D705" s="6" t="inlineStr">
        <is>
          <t>刘强</t>
        </is>
      </c>
      <c r="E705" s="6" t="inlineStr">
        <is>
          <t>雷霆篮球</t>
        </is>
      </c>
      <c r="F705" s="7" t="n">
        <v>96000</v>
      </c>
      <c r="G705" s="7" t="n">
        <v>64700</v>
      </c>
      <c r="H705" s="7" t="n">
        <v>31300</v>
      </c>
      <c r="I705" s="8" t="n">
        <v>0.3260416666666667</v>
      </c>
    </row>
    <row r="706">
      <c r="A706" s="6" t="inlineStr">
        <is>
          <t>2025-08</t>
        </is>
      </c>
      <c r="B706" s="6" t="inlineStr">
        <is>
          <t>篮球装备</t>
        </is>
      </c>
      <c r="C706" s="6" t="inlineStr">
        <is>
          <t>华东</t>
        </is>
      </c>
      <c r="D706" s="6" t="inlineStr">
        <is>
          <t>陈静</t>
        </is>
      </c>
      <c r="E706" s="6" t="inlineStr">
        <is>
          <t>恒康营养</t>
        </is>
      </c>
      <c r="F706" s="7" t="n">
        <v>89900</v>
      </c>
      <c r="G706" s="7" t="n">
        <v>61000</v>
      </c>
      <c r="H706" s="7" t="n">
        <v>28900</v>
      </c>
      <c r="I706" s="8" t="n">
        <v>0.32146829810901</v>
      </c>
    </row>
    <row r="707">
      <c r="A707" s="6" t="inlineStr">
        <is>
          <t>2025-08</t>
        </is>
      </c>
      <c r="B707" s="6" t="inlineStr">
        <is>
          <t>篮球装备</t>
        </is>
      </c>
      <c r="C707" s="6" t="inlineStr">
        <is>
          <t>华北</t>
        </is>
      </c>
      <c r="D707" s="6" t="inlineStr">
        <is>
          <t>张伟</t>
        </is>
      </c>
      <c r="E707" s="6" t="inlineStr">
        <is>
          <t>领跑体育</t>
        </is>
      </c>
      <c r="F707" s="7" t="n">
        <v>69300</v>
      </c>
      <c r="G707" s="7" t="n">
        <v>45300</v>
      </c>
      <c r="H707" s="7" t="n">
        <v>24000</v>
      </c>
      <c r="I707" s="8" t="n">
        <v>0.3463203463203463</v>
      </c>
    </row>
    <row r="708">
      <c r="A708" s="6" t="inlineStr">
        <is>
          <t>2025-08</t>
        </is>
      </c>
      <c r="B708" s="6" t="inlineStr">
        <is>
          <t>篮球装备</t>
        </is>
      </c>
      <c r="C708" s="6" t="inlineStr">
        <is>
          <t>华北</t>
        </is>
      </c>
      <c r="D708" s="6" t="inlineStr">
        <is>
          <t>李娜</t>
        </is>
      </c>
      <c r="E708" s="6" t="inlineStr">
        <is>
          <t>天天向上健身</t>
        </is>
      </c>
      <c r="F708" s="7" t="n">
        <v>84700</v>
      </c>
      <c r="G708" s="7" t="n">
        <v>55700</v>
      </c>
      <c r="H708" s="7" t="n">
        <v>29000</v>
      </c>
      <c r="I708" s="8" t="n">
        <v>0.3423848878394333</v>
      </c>
    </row>
    <row r="709">
      <c r="A709" s="6" t="inlineStr">
        <is>
          <t>2025-08</t>
        </is>
      </c>
      <c r="B709" s="6" t="inlineStr">
        <is>
          <t>篮球装备</t>
        </is>
      </c>
      <c r="C709" s="6" t="inlineStr">
        <is>
          <t>华北</t>
        </is>
      </c>
      <c r="D709" s="6" t="inlineStr">
        <is>
          <t>王芳</t>
        </is>
      </c>
      <c r="E709" s="6" t="inlineStr">
        <is>
          <t>迈步体育</t>
        </is>
      </c>
      <c r="F709" s="7" t="n">
        <v>87000</v>
      </c>
      <c r="G709" s="7" t="n">
        <v>58200</v>
      </c>
      <c r="H709" s="7" t="n">
        <v>28800</v>
      </c>
      <c r="I709" s="8" t="n">
        <v>0.3310344827586207</v>
      </c>
    </row>
    <row r="710">
      <c r="A710" s="6" t="inlineStr">
        <is>
          <t>2025-08</t>
        </is>
      </c>
      <c r="B710" s="6" t="inlineStr">
        <is>
          <t>篮球装备</t>
        </is>
      </c>
      <c r="C710" s="6" t="inlineStr">
        <is>
          <t>华北</t>
        </is>
      </c>
      <c r="D710" s="6" t="inlineStr">
        <is>
          <t>刘强</t>
        </is>
      </c>
      <c r="E710" s="6" t="inlineStr">
        <is>
          <t>劲爆运动用品</t>
        </is>
      </c>
      <c r="F710" s="7" t="n">
        <v>74600</v>
      </c>
      <c r="G710" s="7" t="n">
        <v>49400</v>
      </c>
      <c r="H710" s="7" t="n">
        <v>25200</v>
      </c>
      <c r="I710" s="8" t="n">
        <v>0.3378016085790885</v>
      </c>
    </row>
    <row r="711">
      <c r="A711" s="6" t="inlineStr">
        <is>
          <t>2025-08</t>
        </is>
      </c>
      <c r="B711" s="6" t="inlineStr">
        <is>
          <t>篮球装备</t>
        </is>
      </c>
      <c r="C711" s="6" t="inlineStr">
        <is>
          <t>华北</t>
        </is>
      </c>
      <c r="D711" s="6" t="inlineStr">
        <is>
          <t>陈静</t>
        </is>
      </c>
      <c r="E711" s="6" t="inlineStr">
        <is>
          <t>劲爆运动用品</t>
        </is>
      </c>
      <c r="F711" s="7" t="n">
        <v>62200</v>
      </c>
      <c r="G711" s="7" t="n">
        <v>39900</v>
      </c>
      <c r="H711" s="7" t="n">
        <v>22300</v>
      </c>
      <c r="I711" s="8" t="n">
        <v>0.3585209003215434</v>
      </c>
    </row>
    <row r="712">
      <c r="A712" s="6" t="inlineStr">
        <is>
          <t>2025-08</t>
        </is>
      </c>
      <c r="B712" s="6" t="inlineStr">
        <is>
          <t>篮球装备</t>
        </is>
      </c>
      <c r="C712" s="6" t="inlineStr">
        <is>
          <t>华南</t>
        </is>
      </c>
      <c r="D712" s="6" t="inlineStr">
        <is>
          <t>张伟</t>
        </is>
      </c>
      <c r="E712" s="6" t="inlineStr">
        <is>
          <t>乐动体育</t>
        </is>
      </c>
      <c r="F712" s="7" t="n">
        <v>72600</v>
      </c>
      <c r="G712" s="7" t="n">
        <v>48000</v>
      </c>
      <c r="H712" s="7" t="n">
        <v>24600</v>
      </c>
      <c r="I712" s="8" t="n">
        <v>0.3388429752066116</v>
      </c>
    </row>
    <row r="713">
      <c r="A713" s="6" t="inlineStr">
        <is>
          <t>2025-08</t>
        </is>
      </c>
      <c r="B713" s="6" t="inlineStr">
        <is>
          <t>篮球装备</t>
        </is>
      </c>
      <c r="C713" s="6" t="inlineStr">
        <is>
          <t>华南</t>
        </is>
      </c>
      <c r="D713" s="6" t="inlineStr">
        <is>
          <t>李娜</t>
        </is>
      </c>
      <c r="E713" s="6" t="inlineStr">
        <is>
          <t>康威运动商城</t>
        </is>
      </c>
      <c r="F713" s="7" t="n">
        <v>80000</v>
      </c>
      <c r="G713" s="7" t="n">
        <v>50200</v>
      </c>
      <c r="H713" s="7" t="n">
        <v>29800</v>
      </c>
      <c r="I713" s="8" t="n">
        <v>0.3725</v>
      </c>
    </row>
    <row r="714">
      <c r="A714" s="6" t="inlineStr">
        <is>
          <t>2025-08</t>
        </is>
      </c>
      <c r="B714" s="6" t="inlineStr">
        <is>
          <t>篮球装备</t>
        </is>
      </c>
      <c r="C714" s="6" t="inlineStr">
        <is>
          <t>华南</t>
        </is>
      </c>
      <c r="D714" s="6" t="inlineStr">
        <is>
          <t>王芳</t>
        </is>
      </c>
      <c r="E714" s="6" t="inlineStr">
        <is>
          <t>小小运动家</t>
        </is>
      </c>
      <c r="F714" s="7" t="n">
        <v>87800</v>
      </c>
      <c r="G714" s="7" t="n">
        <v>56600</v>
      </c>
      <c r="H714" s="7" t="n">
        <v>31200</v>
      </c>
      <c r="I714" s="8" t="n">
        <v>0.3553530751708428</v>
      </c>
    </row>
    <row r="715">
      <c r="A715" s="6" t="inlineStr">
        <is>
          <t>2025-08</t>
        </is>
      </c>
      <c r="B715" s="6" t="inlineStr">
        <is>
          <t>篮球装备</t>
        </is>
      </c>
      <c r="C715" s="6" t="inlineStr">
        <is>
          <t>华南</t>
        </is>
      </c>
      <c r="D715" s="6" t="inlineStr">
        <is>
          <t>刘强</t>
        </is>
      </c>
      <c r="E715" s="6" t="inlineStr">
        <is>
          <t>雷霆篮球</t>
        </is>
      </c>
      <c r="F715" s="7" t="n">
        <v>65800</v>
      </c>
      <c r="G715" s="7" t="n">
        <v>42100</v>
      </c>
      <c r="H715" s="7" t="n">
        <v>23700</v>
      </c>
      <c r="I715" s="8" t="n">
        <v>0.3601823708206687</v>
      </c>
    </row>
    <row r="716">
      <c r="A716" s="6" t="inlineStr">
        <is>
          <t>2025-08</t>
        </is>
      </c>
      <c r="B716" s="6" t="inlineStr">
        <is>
          <t>篮球装备</t>
        </is>
      </c>
      <c r="C716" s="6" t="inlineStr">
        <is>
          <t>华南</t>
        </is>
      </c>
      <c r="D716" s="6" t="inlineStr">
        <is>
          <t>陈静</t>
        </is>
      </c>
      <c r="E716" s="6" t="inlineStr">
        <is>
          <t>跃动少儿运动馆</t>
        </is>
      </c>
      <c r="F716" s="7" t="n">
        <v>77400</v>
      </c>
      <c r="G716" s="7" t="n">
        <v>52000</v>
      </c>
      <c r="H716" s="7" t="n">
        <v>25400</v>
      </c>
      <c r="I716" s="8" t="n">
        <v>0.3281653746770026</v>
      </c>
    </row>
    <row r="717">
      <c r="A717" s="6" t="inlineStr">
        <is>
          <t>2025-08</t>
        </is>
      </c>
      <c r="B717" s="6" t="inlineStr">
        <is>
          <t>篮球装备</t>
        </is>
      </c>
      <c r="C717" s="6" t="inlineStr">
        <is>
          <t>西部</t>
        </is>
      </c>
      <c r="D717" s="6" t="inlineStr">
        <is>
          <t>张伟</t>
        </is>
      </c>
      <c r="E717" s="6" t="inlineStr">
        <is>
          <t>智练体育</t>
        </is>
      </c>
      <c r="F717" s="7" t="n">
        <v>53300</v>
      </c>
      <c r="G717" s="7" t="n">
        <v>36200</v>
      </c>
      <c r="H717" s="7" t="n">
        <v>17100</v>
      </c>
      <c r="I717" s="8" t="n">
        <v>0.3208255159474672</v>
      </c>
    </row>
    <row r="718">
      <c r="A718" s="6" t="inlineStr">
        <is>
          <t>2025-08</t>
        </is>
      </c>
      <c r="B718" s="6" t="inlineStr">
        <is>
          <t>篮球装备</t>
        </is>
      </c>
      <c r="C718" s="6" t="inlineStr">
        <is>
          <t>西部</t>
        </is>
      </c>
      <c r="D718" s="6" t="inlineStr">
        <is>
          <t>李娜</t>
        </is>
      </c>
      <c r="E718" s="6" t="inlineStr">
        <is>
          <t>劲爆运动用品</t>
        </is>
      </c>
      <c r="F718" s="7" t="n">
        <v>52100</v>
      </c>
      <c r="G718" s="7" t="n">
        <v>33800</v>
      </c>
      <c r="H718" s="7" t="n">
        <v>18300</v>
      </c>
      <c r="I718" s="8" t="n">
        <v>0.3512476007677543</v>
      </c>
    </row>
    <row r="719">
      <c r="A719" s="6" t="inlineStr">
        <is>
          <t>2025-08</t>
        </is>
      </c>
      <c r="B719" s="6" t="inlineStr">
        <is>
          <t>篮球装备</t>
        </is>
      </c>
      <c r="C719" s="6" t="inlineStr">
        <is>
          <t>西部</t>
        </is>
      </c>
      <c r="D719" s="6" t="inlineStr">
        <is>
          <t>王芳</t>
        </is>
      </c>
      <c r="E719" s="6" t="inlineStr">
        <is>
          <t>环宇体育</t>
        </is>
      </c>
      <c r="F719" s="7" t="n">
        <v>53000</v>
      </c>
      <c r="G719" s="7" t="n">
        <v>34400</v>
      </c>
      <c r="H719" s="7" t="n">
        <v>18600</v>
      </c>
      <c r="I719" s="8" t="n">
        <v>0.3509433962264151</v>
      </c>
    </row>
    <row r="720">
      <c r="A720" s="6" t="inlineStr">
        <is>
          <t>2025-08</t>
        </is>
      </c>
      <c r="B720" s="6" t="inlineStr">
        <is>
          <t>篮球装备</t>
        </is>
      </c>
      <c r="C720" s="6" t="inlineStr">
        <is>
          <t>西部</t>
        </is>
      </c>
      <c r="D720" s="6" t="inlineStr">
        <is>
          <t>刘强</t>
        </is>
      </c>
      <c r="E720" s="6" t="inlineStr">
        <is>
          <t>优加体能中心</t>
        </is>
      </c>
      <c r="F720" s="7" t="n">
        <v>46900</v>
      </c>
      <c r="G720" s="7" t="n">
        <v>30100</v>
      </c>
      <c r="H720" s="7" t="n">
        <v>16800</v>
      </c>
      <c r="I720" s="8" t="n">
        <v>0.3582089552238806</v>
      </c>
    </row>
    <row r="721">
      <c r="A721" s="6" t="inlineStr">
        <is>
          <t>2025-08</t>
        </is>
      </c>
      <c r="B721" s="6" t="inlineStr">
        <is>
          <t>篮球装备</t>
        </is>
      </c>
      <c r="C721" s="6" t="inlineStr">
        <is>
          <t>西部</t>
        </is>
      </c>
      <c r="D721" s="6" t="inlineStr">
        <is>
          <t>陈静</t>
        </is>
      </c>
      <c r="E721" s="6" t="inlineStr">
        <is>
          <t>优加体能中心</t>
        </is>
      </c>
      <c r="F721" s="7" t="n">
        <v>48000</v>
      </c>
      <c r="G721" s="7" t="n">
        <v>30900</v>
      </c>
      <c r="H721" s="7" t="n">
        <v>17100</v>
      </c>
      <c r="I721" s="8" t="n">
        <v>0.35625</v>
      </c>
    </row>
    <row r="722">
      <c r="A722" s="6" t="inlineStr">
        <is>
          <t>2025-08</t>
        </is>
      </c>
      <c r="B722" s="6" t="inlineStr">
        <is>
          <t>体适能器材</t>
        </is>
      </c>
      <c r="C722" s="6" t="inlineStr">
        <is>
          <t>华东</t>
        </is>
      </c>
      <c r="D722" s="6" t="inlineStr">
        <is>
          <t>张伟</t>
        </is>
      </c>
      <c r="E722" s="6" t="inlineStr">
        <is>
          <t>领跑体育</t>
        </is>
      </c>
      <c r="F722" s="7" t="n">
        <v>63600</v>
      </c>
      <c r="G722" s="7" t="n">
        <v>44100</v>
      </c>
      <c r="H722" s="7" t="n">
        <v>19500</v>
      </c>
      <c r="I722" s="8" t="n">
        <v>0.3066037735849056</v>
      </c>
    </row>
    <row r="723">
      <c r="A723" s="6" t="inlineStr">
        <is>
          <t>2025-08</t>
        </is>
      </c>
      <c r="B723" s="6" t="inlineStr">
        <is>
          <t>体适能器材</t>
        </is>
      </c>
      <c r="C723" s="6" t="inlineStr">
        <is>
          <t>华东</t>
        </is>
      </c>
      <c r="D723" s="6" t="inlineStr">
        <is>
          <t>李娜</t>
        </is>
      </c>
      <c r="E723" s="6" t="inlineStr">
        <is>
          <t>健将体育</t>
        </is>
      </c>
      <c r="F723" s="7" t="n">
        <v>66300</v>
      </c>
      <c r="G723" s="7" t="n">
        <v>44400</v>
      </c>
      <c r="H723" s="7" t="n">
        <v>21900</v>
      </c>
      <c r="I723" s="8" t="n">
        <v>0.330316742081448</v>
      </c>
    </row>
    <row r="724">
      <c r="A724" s="6" t="inlineStr">
        <is>
          <t>2025-08</t>
        </is>
      </c>
      <c r="B724" s="6" t="inlineStr">
        <is>
          <t>体适能器材</t>
        </is>
      </c>
      <c r="C724" s="6" t="inlineStr">
        <is>
          <t>华东</t>
        </is>
      </c>
      <c r="D724" s="6" t="inlineStr">
        <is>
          <t>王芳</t>
        </is>
      </c>
      <c r="E724" s="6" t="inlineStr">
        <is>
          <t>巅峰运动</t>
        </is>
      </c>
      <c r="F724" s="7" t="n">
        <v>72100</v>
      </c>
      <c r="G724" s="7" t="n">
        <v>52500</v>
      </c>
      <c r="H724" s="7" t="n">
        <v>19600</v>
      </c>
      <c r="I724" s="8" t="n">
        <v>0.2718446601941747</v>
      </c>
    </row>
    <row r="725">
      <c r="A725" s="6" t="inlineStr">
        <is>
          <t>2025-08</t>
        </is>
      </c>
      <c r="B725" s="6" t="inlineStr">
        <is>
          <t>体适能器材</t>
        </is>
      </c>
      <c r="C725" s="6" t="inlineStr">
        <is>
          <t>华东</t>
        </is>
      </c>
      <c r="D725" s="6" t="inlineStr">
        <is>
          <t>刘强</t>
        </is>
      </c>
      <c r="E725" s="6" t="inlineStr">
        <is>
          <t>启航健身中心</t>
        </is>
      </c>
      <c r="F725" s="7" t="n">
        <v>72200</v>
      </c>
      <c r="G725" s="7" t="n">
        <v>52100</v>
      </c>
      <c r="H725" s="7" t="n">
        <v>20100</v>
      </c>
      <c r="I725" s="8" t="n">
        <v>0.278393351800554</v>
      </c>
    </row>
    <row r="726">
      <c r="A726" s="6" t="inlineStr">
        <is>
          <t>2025-08</t>
        </is>
      </c>
      <c r="B726" s="6" t="inlineStr">
        <is>
          <t>体适能器材</t>
        </is>
      </c>
      <c r="C726" s="6" t="inlineStr">
        <is>
          <t>华东</t>
        </is>
      </c>
      <c r="D726" s="6" t="inlineStr">
        <is>
          <t>陈静</t>
        </is>
      </c>
      <c r="E726" s="6" t="inlineStr">
        <is>
          <t>飞跃训练营</t>
        </is>
      </c>
      <c r="F726" s="7" t="n">
        <v>64700</v>
      </c>
      <c r="G726" s="7" t="n">
        <v>46900</v>
      </c>
      <c r="H726" s="7" t="n">
        <v>17800</v>
      </c>
      <c r="I726" s="8" t="n">
        <v>0.2751159196290572</v>
      </c>
    </row>
    <row r="727">
      <c r="A727" s="6" t="inlineStr">
        <is>
          <t>2025-08</t>
        </is>
      </c>
      <c r="B727" s="6" t="inlineStr">
        <is>
          <t>体适能器材</t>
        </is>
      </c>
      <c r="C727" s="6" t="inlineStr">
        <is>
          <t>华北</t>
        </is>
      </c>
      <c r="D727" s="6" t="inlineStr">
        <is>
          <t>张伟</t>
        </is>
      </c>
      <c r="E727" s="6" t="inlineStr">
        <is>
          <t>锋行体育</t>
        </is>
      </c>
      <c r="F727" s="7" t="n">
        <v>56700</v>
      </c>
      <c r="G727" s="7" t="n">
        <v>39200</v>
      </c>
      <c r="H727" s="7" t="n">
        <v>17500</v>
      </c>
      <c r="I727" s="8" t="n">
        <v>0.308641975308642</v>
      </c>
    </row>
    <row r="728">
      <c r="A728" s="6" t="inlineStr">
        <is>
          <t>2025-08</t>
        </is>
      </c>
      <c r="B728" s="6" t="inlineStr">
        <is>
          <t>体适能器材</t>
        </is>
      </c>
      <c r="C728" s="6" t="inlineStr">
        <is>
          <t>华北</t>
        </is>
      </c>
      <c r="D728" s="6" t="inlineStr">
        <is>
          <t>李娜</t>
        </is>
      </c>
      <c r="E728" s="6" t="inlineStr">
        <is>
          <t>劲爆运动用品</t>
        </is>
      </c>
      <c r="F728" s="7" t="n">
        <v>59300</v>
      </c>
      <c r="G728" s="7" t="n">
        <v>40500</v>
      </c>
      <c r="H728" s="7" t="n">
        <v>18800</v>
      </c>
      <c r="I728" s="8" t="n">
        <v>0.3170320404721754</v>
      </c>
    </row>
    <row r="729">
      <c r="A729" s="6" t="inlineStr">
        <is>
          <t>2025-08</t>
        </is>
      </c>
      <c r="B729" s="6" t="inlineStr">
        <is>
          <t>体适能器材</t>
        </is>
      </c>
      <c r="C729" s="6" t="inlineStr">
        <is>
          <t>华北</t>
        </is>
      </c>
      <c r="D729" s="6" t="inlineStr">
        <is>
          <t>王芳</t>
        </is>
      </c>
      <c r="E729" s="6" t="inlineStr">
        <is>
          <t>天天向上健身</t>
        </is>
      </c>
      <c r="F729" s="7" t="n">
        <v>49300</v>
      </c>
      <c r="G729" s="7" t="n">
        <v>33900</v>
      </c>
      <c r="H729" s="7" t="n">
        <v>15400</v>
      </c>
      <c r="I729" s="8" t="n">
        <v>0.3123732251521298</v>
      </c>
    </row>
    <row r="730">
      <c r="A730" s="6" t="inlineStr">
        <is>
          <t>2025-08</t>
        </is>
      </c>
      <c r="B730" s="6" t="inlineStr">
        <is>
          <t>体适能器材</t>
        </is>
      </c>
      <c r="C730" s="6" t="inlineStr">
        <is>
          <t>华北</t>
        </is>
      </c>
      <c r="D730" s="6" t="inlineStr">
        <is>
          <t>刘强</t>
        </is>
      </c>
      <c r="E730" s="6" t="inlineStr">
        <is>
          <t>小小运动家</t>
        </is>
      </c>
      <c r="F730" s="7" t="n">
        <v>56100</v>
      </c>
      <c r="G730" s="7" t="n">
        <v>39400</v>
      </c>
      <c r="H730" s="7" t="n">
        <v>16700</v>
      </c>
      <c r="I730" s="8" t="n">
        <v>0.2976827094474153</v>
      </c>
    </row>
    <row r="731">
      <c r="A731" s="6" t="inlineStr">
        <is>
          <t>2025-08</t>
        </is>
      </c>
      <c r="B731" s="6" t="inlineStr">
        <is>
          <t>体适能器材</t>
        </is>
      </c>
      <c r="C731" s="6" t="inlineStr">
        <is>
          <t>华北</t>
        </is>
      </c>
      <c r="D731" s="6" t="inlineStr">
        <is>
          <t>陈静</t>
        </is>
      </c>
      <c r="E731" s="6" t="inlineStr">
        <is>
          <t>优加体能中心</t>
        </is>
      </c>
      <c r="F731" s="7" t="n">
        <v>46100</v>
      </c>
      <c r="G731" s="7" t="n">
        <v>32200</v>
      </c>
      <c r="H731" s="7" t="n">
        <v>13900</v>
      </c>
      <c r="I731" s="8" t="n">
        <v>0.3015184381778742</v>
      </c>
    </row>
    <row r="732">
      <c r="A732" s="6" t="inlineStr">
        <is>
          <t>2025-08</t>
        </is>
      </c>
      <c r="B732" s="6" t="inlineStr">
        <is>
          <t>体适能器材</t>
        </is>
      </c>
      <c r="C732" s="6" t="inlineStr">
        <is>
          <t>华南</t>
        </is>
      </c>
      <c r="D732" s="6" t="inlineStr">
        <is>
          <t>张伟</t>
        </is>
      </c>
      <c r="E732" s="6" t="inlineStr">
        <is>
          <t>锐健身工作室</t>
        </is>
      </c>
      <c r="F732" s="7" t="n">
        <v>68400</v>
      </c>
      <c r="G732" s="7" t="n">
        <v>49500</v>
      </c>
      <c r="H732" s="7" t="n">
        <v>18900</v>
      </c>
      <c r="I732" s="8" t="n">
        <v>0.2763157894736842</v>
      </c>
    </row>
    <row r="733">
      <c r="A733" s="6" t="inlineStr">
        <is>
          <t>2025-08</t>
        </is>
      </c>
      <c r="B733" s="6" t="inlineStr">
        <is>
          <t>体适能器材</t>
        </is>
      </c>
      <c r="C733" s="6" t="inlineStr">
        <is>
          <t>华南</t>
        </is>
      </c>
      <c r="D733" s="6" t="inlineStr">
        <is>
          <t>李娜</t>
        </is>
      </c>
      <c r="E733" s="6" t="inlineStr">
        <is>
          <t>跃动少儿运动馆</t>
        </is>
      </c>
      <c r="F733" s="7" t="n">
        <v>65700</v>
      </c>
      <c r="G733" s="7" t="n">
        <v>44400</v>
      </c>
      <c r="H733" s="7" t="n">
        <v>21300</v>
      </c>
      <c r="I733" s="8" t="n">
        <v>0.3242009132420091</v>
      </c>
    </row>
    <row r="734">
      <c r="A734" s="6" t="inlineStr">
        <is>
          <t>2025-08</t>
        </is>
      </c>
      <c r="B734" s="6" t="inlineStr">
        <is>
          <t>体适能器材</t>
        </is>
      </c>
      <c r="C734" s="6" t="inlineStr">
        <is>
          <t>华南</t>
        </is>
      </c>
      <c r="D734" s="6" t="inlineStr">
        <is>
          <t>王芳</t>
        </is>
      </c>
      <c r="E734" s="6" t="inlineStr">
        <is>
          <t>极客穿戴</t>
        </is>
      </c>
      <c r="F734" s="7" t="n">
        <v>58700</v>
      </c>
      <c r="G734" s="7" t="n">
        <v>39500</v>
      </c>
      <c r="H734" s="7" t="n">
        <v>19200</v>
      </c>
      <c r="I734" s="8" t="n">
        <v>0.3270868824531516</v>
      </c>
    </row>
    <row r="735">
      <c r="A735" s="6" t="inlineStr">
        <is>
          <t>2025-08</t>
        </is>
      </c>
      <c r="B735" s="6" t="inlineStr">
        <is>
          <t>体适能器材</t>
        </is>
      </c>
      <c r="C735" s="6" t="inlineStr">
        <is>
          <t>华南</t>
        </is>
      </c>
      <c r="D735" s="6" t="inlineStr">
        <is>
          <t>刘强</t>
        </is>
      </c>
      <c r="E735" s="6" t="inlineStr">
        <is>
          <t>超能体育</t>
        </is>
      </c>
      <c r="F735" s="7" t="n">
        <v>49400</v>
      </c>
      <c r="G735" s="7" t="n">
        <v>34500</v>
      </c>
      <c r="H735" s="7" t="n">
        <v>14900</v>
      </c>
      <c r="I735" s="8" t="n">
        <v>0.3016194331983806</v>
      </c>
    </row>
    <row r="736">
      <c r="A736" s="6" t="inlineStr">
        <is>
          <t>2025-08</t>
        </is>
      </c>
      <c r="B736" s="6" t="inlineStr">
        <is>
          <t>体适能器材</t>
        </is>
      </c>
      <c r="C736" s="6" t="inlineStr">
        <is>
          <t>华南</t>
        </is>
      </c>
      <c r="D736" s="6" t="inlineStr">
        <is>
          <t>陈静</t>
        </is>
      </c>
      <c r="E736" s="6" t="inlineStr">
        <is>
          <t>劲爆运动用品</t>
        </is>
      </c>
      <c r="F736" s="7" t="n">
        <v>49800</v>
      </c>
      <c r="G736" s="7" t="n">
        <v>33800</v>
      </c>
      <c r="H736" s="7" t="n">
        <v>16000</v>
      </c>
      <c r="I736" s="8" t="n">
        <v>0.321285140562249</v>
      </c>
    </row>
    <row r="737">
      <c r="A737" s="6" t="inlineStr">
        <is>
          <t>2025-08</t>
        </is>
      </c>
      <c r="B737" s="6" t="inlineStr">
        <is>
          <t>体适能器材</t>
        </is>
      </c>
      <c r="C737" s="6" t="inlineStr">
        <is>
          <t>西部</t>
        </is>
      </c>
      <c r="D737" s="6" t="inlineStr">
        <is>
          <t>张伟</t>
        </is>
      </c>
      <c r="E737" s="6" t="inlineStr">
        <is>
          <t>茁长少儿体适能</t>
        </is>
      </c>
      <c r="F737" s="7" t="n">
        <v>41200</v>
      </c>
      <c r="G737" s="7" t="n">
        <v>28900</v>
      </c>
      <c r="H737" s="7" t="n">
        <v>12300</v>
      </c>
      <c r="I737" s="8" t="n">
        <v>0.2985436893203883</v>
      </c>
    </row>
    <row r="738">
      <c r="A738" s="6" t="inlineStr">
        <is>
          <t>2025-08</t>
        </is>
      </c>
      <c r="B738" s="6" t="inlineStr">
        <is>
          <t>体适能器材</t>
        </is>
      </c>
      <c r="C738" s="6" t="inlineStr">
        <is>
          <t>西部</t>
        </is>
      </c>
      <c r="D738" s="6" t="inlineStr">
        <is>
          <t>李娜</t>
        </is>
      </c>
      <c r="E738" s="6" t="inlineStr">
        <is>
          <t>极客穿戴</t>
        </is>
      </c>
      <c r="F738" s="7" t="n">
        <v>37000</v>
      </c>
      <c r="G738" s="7" t="n">
        <v>26700</v>
      </c>
      <c r="H738" s="7" t="n">
        <v>10300</v>
      </c>
      <c r="I738" s="8" t="n">
        <v>0.2783783783783784</v>
      </c>
    </row>
    <row r="739">
      <c r="A739" s="6" t="inlineStr">
        <is>
          <t>2025-08</t>
        </is>
      </c>
      <c r="B739" s="6" t="inlineStr">
        <is>
          <t>体适能器材</t>
        </is>
      </c>
      <c r="C739" s="6" t="inlineStr">
        <is>
          <t>西部</t>
        </is>
      </c>
      <c r="D739" s="6" t="inlineStr">
        <is>
          <t>王芳</t>
        </is>
      </c>
      <c r="E739" s="6" t="inlineStr">
        <is>
          <t>风尚健身</t>
        </is>
      </c>
      <c r="F739" s="7" t="n">
        <v>44200</v>
      </c>
      <c r="G739" s="7" t="n">
        <v>29800</v>
      </c>
      <c r="H739" s="7" t="n">
        <v>14400</v>
      </c>
      <c r="I739" s="8" t="n">
        <v>0.3257918552036199</v>
      </c>
    </row>
    <row r="740">
      <c r="A740" s="6" t="inlineStr">
        <is>
          <t>2025-08</t>
        </is>
      </c>
      <c r="B740" s="6" t="inlineStr">
        <is>
          <t>体适能器材</t>
        </is>
      </c>
      <c r="C740" s="6" t="inlineStr">
        <is>
          <t>西部</t>
        </is>
      </c>
      <c r="D740" s="6" t="inlineStr">
        <is>
          <t>刘强</t>
        </is>
      </c>
      <c r="E740" s="6" t="inlineStr">
        <is>
          <t>乐动体育</t>
        </is>
      </c>
      <c r="F740" s="7" t="n">
        <v>32100</v>
      </c>
      <c r="G740" s="7" t="n">
        <v>23300</v>
      </c>
      <c r="H740" s="7" t="n">
        <v>8800</v>
      </c>
      <c r="I740" s="8" t="n">
        <v>0.2741433021806853</v>
      </c>
    </row>
    <row r="741">
      <c r="A741" s="6" t="inlineStr">
        <is>
          <t>2025-08</t>
        </is>
      </c>
      <c r="B741" s="6" t="inlineStr">
        <is>
          <t>体适能器材</t>
        </is>
      </c>
      <c r="C741" s="6" t="inlineStr">
        <is>
          <t>西部</t>
        </is>
      </c>
      <c r="D741" s="6" t="inlineStr">
        <is>
          <t>陈静</t>
        </is>
      </c>
      <c r="E741" s="6" t="inlineStr">
        <is>
          <t>悍将运动</t>
        </is>
      </c>
      <c r="F741" s="7" t="n">
        <v>42700</v>
      </c>
      <c r="G741" s="7" t="n">
        <v>29600</v>
      </c>
      <c r="H741" s="7" t="n">
        <v>13100</v>
      </c>
      <c r="I741" s="8" t="n">
        <v>0.3067915690866511</v>
      </c>
    </row>
    <row r="742">
      <c r="A742" s="6" t="inlineStr">
        <is>
          <t>2025-08</t>
        </is>
      </c>
      <c r="B742" s="6" t="inlineStr">
        <is>
          <t>训练服饰</t>
        </is>
      </c>
      <c r="C742" s="6" t="inlineStr">
        <is>
          <t>华东</t>
        </is>
      </c>
      <c r="D742" s="6" t="inlineStr">
        <is>
          <t>张伟</t>
        </is>
      </c>
      <c r="E742" s="6" t="inlineStr">
        <is>
          <t>元气营养</t>
        </is>
      </c>
      <c r="F742" s="7" t="n">
        <v>50000</v>
      </c>
      <c r="G742" s="7" t="n">
        <v>26100</v>
      </c>
      <c r="H742" s="7" t="n">
        <v>23900</v>
      </c>
      <c r="I742" s="8" t="n">
        <v>0.478</v>
      </c>
    </row>
    <row r="743">
      <c r="A743" s="6" t="inlineStr">
        <is>
          <t>2025-08</t>
        </is>
      </c>
      <c r="B743" s="6" t="inlineStr">
        <is>
          <t>训练服饰</t>
        </is>
      </c>
      <c r="C743" s="6" t="inlineStr">
        <is>
          <t>华东</t>
        </is>
      </c>
      <c r="D743" s="6" t="inlineStr">
        <is>
          <t>李娜</t>
        </is>
      </c>
      <c r="E743" s="6" t="inlineStr">
        <is>
          <t>健将体育</t>
        </is>
      </c>
      <c r="F743" s="7" t="n">
        <v>52400</v>
      </c>
      <c r="G743" s="7" t="n">
        <v>28200</v>
      </c>
      <c r="H743" s="7" t="n">
        <v>24200</v>
      </c>
      <c r="I743" s="8" t="n">
        <v>0.4618320610687023</v>
      </c>
    </row>
    <row r="744">
      <c r="A744" s="6" t="inlineStr">
        <is>
          <t>2025-08</t>
        </is>
      </c>
      <c r="B744" s="6" t="inlineStr">
        <is>
          <t>训练服饰</t>
        </is>
      </c>
      <c r="C744" s="6" t="inlineStr">
        <is>
          <t>华东</t>
        </is>
      </c>
      <c r="D744" s="6" t="inlineStr">
        <is>
          <t>王芳</t>
        </is>
      </c>
      <c r="E744" s="6" t="inlineStr">
        <is>
          <t>悍将运动</t>
        </is>
      </c>
      <c r="F744" s="7" t="n">
        <v>52500</v>
      </c>
      <c r="G744" s="7" t="n">
        <v>29700</v>
      </c>
      <c r="H744" s="7" t="n">
        <v>22800</v>
      </c>
      <c r="I744" s="8" t="n">
        <v>0.4342857142857143</v>
      </c>
    </row>
    <row r="745">
      <c r="A745" s="6" t="inlineStr">
        <is>
          <t>2025-08</t>
        </is>
      </c>
      <c r="B745" s="6" t="inlineStr">
        <is>
          <t>训练服饰</t>
        </is>
      </c>
      <c r="C745" s="6" t="inlineStr">
        <is>
          <t>华东</t>
        </is>
      </c>
      <c r="D745" s="6" t="inlineStr">
        <is>
          <t>刘强</t>
        </is>
      </c>
      <c r="E745" s="6" t="inlineStr">
        <is>
          <t>雷霆篮球</t>
        </is>
      </c>
      <c r="F745" s="7" t="n">
        <v>40200</v>
      </c>
      <c r="G745" s="7" t="n">
        <v>21300</v>
      </c>
      <c r="H745" s="7" t="n">
        <v>18900</v>
      </c>
      <c r="I745" s="8" t="n">
        <v>0.4701492537313433</v>
      </c>
    </row>
    <row r="746">
      <c r="A746" s="6" t="inlineStr">
        <is>
          <t>2025-08</t>
        </is>
      </c>
      <c r="B746" s="6" t="inlineStr">
        <is>
          <t>训练服饰</t>
        </is>
      </c>
      <c r="C746" s="6" t="inlineStr">
        <is>
          <t>华东</t>
        </is>
      </c>
      <c r="D746" s="6" t="inlineStr">
        <is>
          <t>陈静</t>
        </is>
      </c>
      <c r="E746" s="6" t="inlineStr">
        <is>
          <t>锐健身工作室</t>
        </is>
      </c>
      <c r="F746" s="7" t="n">
        <v>51400</v>
      </c>
      <c r="G746" s="7" t="n">
        <v>29400</v>
      </c>
      <c r="H746" s="7" t="n">
        <v>22000</v>
      </c>
      <c r="I746" s="8" t="n">
        <v>0.4280155642023346</v>
      </c>
    </row>
    <row r="747">
      <c r="A747" s="6" t="inlineStr">
        <is>
          <t>2025-08</t>
        </is>
      </c>
      <c r="B747" s="6" t="inlineStr">
        <is>
          <t>训练服饰</t>
        </is>
      </c>
      <c r="C747" s="6" t="inlineStr">
        <is>
          <t>华北</t>
        </is>
      </c>
      <c r="D747" s="6" t="inlineStr">
        <is>
          <t>张伟</t>
        </is>
      </c>
      <c r="E747" s="6" t="inlineStr">
        <is>
          <t>锐动体育用品</t>
        </is>
      </c>
      <c r="F747" s="7" t="n">
        <v>39800</v>
      </c>
      <c r="G747" s="7" t="n">
        <v>22300</v>
      </c>
      <c r="H747" s="7" t="n">
        <v>17500</v>
      </c>
      <c r="I747" s="8" t="n">
        <v>0.4396984924623116</v>
      </c>
    </row>
    <row r="748">
      <c r="A748" s="6" t="inlineStr">
        <is>
          <t>2025-08</t>
        </is>
      </c>
      <c r="B748" s="6" t="inlineStr">
        <is>
          <t>训练服饰</t>
        </is>
      </c>
      <c r="C748" s="6" t="inlineStr">
        <is>
          <t>华北</t>
        </is>
      </c>
      <c r="D748" s="6" t="inlineStr">
        <is>
          <t>李娜</t>
        </is>
      </c>
      <c r="E748" s="6" t="inlineStr">
        <is>
          <t>小飞侠运动俱乐部</t>
        </is>
      </c>
      <c r="F748" s="7" t="n">
        <v>37800</v>
      </c>
      <c r="G748" s="7" t="n">
        <v>21100</v>
      </c>
      <c r="H748" s="7" t="n">
        <v>16700</v>
      </c>
      <c r="I748" s="8" t="n">
        <v>0.4417989417989418</v>
      </c>
    </row>
    <row r="749">
      <c r="A749" s="6" t="inlineStr">
        <is>
          <t>2025-08</t>
        </is>
      </c>
      <c r="B749" s="6" t="inlineStr">
        <is>
          <t>训练服饰</t>
        </is>
      </c>
      <c r="C749" s="6" t="inlineStr">
        <is>
          <t>华北</t>
        </is>
      </c>
      <c r="D749" s="6" t="inlineStr">
        <is>
          <t>王芳</t>
        </is>
      </c>
      <c r="E749" s="6" t="inlineStr">
        <is>
          <t>悍将运动</t>
        </is>
      </c>
      <c r="F749" s="7" t="n">
        <v>43200</v>
      </c>
      <c r="G749" s="7" t="n">
        <v>23500</v>
      </c>
      <c r="H749" s="7" t="n">
        <v>19700</v>
      </c>
      <c r="I749" s="8" t="n">
        <v>0.4560185185185185</v>
      </c>
    </row>
    <row r="750">
      <c r="A750" s="6" t="inlineStr">
        <is>
          <t>2025-08</t>
        </is>
      </c>
      <c r="B750" s="6" t="inlineStr">
        <is>
          <t>训练服饰</t>
        </is>
      </c>
      <c r="C750" s="6" t="inlineStr">
        <is>
          <t>华北</t>
        </is>
      </c>
      <c r="D750" s="6" t="inlineStr">
        <is>
          <t>刘强</t>
        </is>
      </c>
      <c r="E750" s="6" t="inlineStr">
        <is>
          <t>成长树运动馆</t>
        </is>
      </c>
      <c r="F750" s="7" t="n">
        <v>29600</v>
      </c>
      <c r="G750" s="7" t="n">
        <v>16400</v>
      </c>
      <c r="H750" s="7" t="n">
        <v>13200</v>
      </c>
      <c r="I750" s="8" t="n">
        <v>0.4459459459459459</v>
      </c>
    </row>
    <row r="751">
      <c r="A751" s="6" t="inlineStr">
        <is>
          <t>2025-08</t>
        </is>
      </c>
      <c r="B751" s="6" t="inlineStr">
        <is>
          <t>训练服饰</t>
        </is>
      </c>
      <c r="C751" s="6" t="inlineStr">
        <is>
          <t>华北</t>
        </is>
      </c>
      <c r="D751" s="6" t="inlineStr">
        <is>
          <t>陈静</t>
        </is>
      </c>
      <c r="E751" s="6" t="inlineStr">
        <is>
          <t>腾飞体育用品</t>
        </is>
      </c>
      <c r="F751" s="7" t="n">
        <v>39600</v>
      </c>
      <c r="G751" s="7" t="n">
        <v>21100</v>
      </c>
      <c r="H751" s="7" t="n">
        <v>18500</v>
      </c>
      <c r="I751" s="8" t="n">
        <v>0.4671717171717172</v>
      </c>
    </row>
    <row r="752">
      <c r="A752" s="6" t="inlineStr">
        <is>
          <t>2025-08</t>
        </is>
      </c>
      <c r="B752" s="6" t="inlineStr">
        <is>
          <t>训练服饰</t>
        </is>
      </c>
      <c r="C752" s="6" t="inlineStr">
        <is>
          <t>华南</t>
        </is>
      </c>
      <c r="D752" s="6" t="inlineStr">
        <is>
          <t>张伟</t>
        </is>
      </c>
      <c r="E752" s="6" t="inlineStr">
        <is>
          <t>雷霆篮球</t>
        </is>
      </c>
      <c r="F752" s="7" t="n">
        <v>34700</v>
      </c>
      <c r="G752" s="7" t="n">
        <v>19800</v>
      </c>
      <c r="H752" s="7" t="n">
        <v>14900</v>
      </c>
      <c r="I752" s="8" t="n">
        <v>0.4293948126801153</v>
      </c>
    </row>
    <row r="753">
      <c r="A753" s="6" t="inlineStr">
        <is>
          <t>2025-08</t>
        </is>
      </c>
      <c r="B753" s="6" t="inlineStr">
        <is>
          <t>训练服饰</t>
        </is>
      </c>
      <c r="C753" s="6" t="inlineStr">
        <is>
          <t>华南</t>
        </is>
      </c>
      <c r="D753" s="6" t="inlineStr">
        <is>
          <t>李娜</t>
        </is>
      </c>
      <c r="E753" s="6" t="inlineStr">
        <is>
          <t>启航健身中心</t>
        </is>
      </c>
      <c r="F753" s="7" t="n">
        <v>40700</v>
      </c>
      <c r="G753" s="7" t="n">
        <v>21800</v>
      </c>
      <c r="H753" s="7" t="n">
        <v>18900</v>
      </c>
      <c r="I753" s="8" t="n">
        <v>0.4643734643734644</v>
      </c>
    </row>
    <row r="754">
      <c r="A754" s="6" t="inlineStr">
        <is>
          <t>2025-08</t>
        </is>
      </c>
      <c r="B754" s="6" t="inlineStr">
        <is>
          <t>训练服饰</t>
        </is>
      </c>
      <c r="C754" s="6" t="inlineStr">
        <is>
          <t>华南</t>
        </is>
      </c>
      <c r="D754" s="6" t="inlineStr">
        <is>
          <t>王芳</t>
        </is>
      </c>
      <c r="E754" s="6" t="inlineStr">
        <is>
          <t>篮途体育文化</t>
        </is>
      </c>
      <c r="F754" s="7" t="n">
        <v>45900</v>
      </c>
      <c r="G754" s="7" t="n">
        <v>26600</v>
      </c>
      <c r="H754" s="7" t="n">
        <v>19300</v>
      </c>
      <c r="I754" s="8" t="n">
        <v>0.420479302832244</v>
      </c>
    </row>
    <row r="755">
      <c r="A755" s="6" t="inlineStr">
        <is>
          <t>2025-08</t>
        </is>
      </c>
      <c r="B755" s="6" t="inlineStr">
        <is>
          <t>训练服饰</t>
        </is>
      </c>
      <c r="C755" s="6" t="inlineStr">
        <is>
          <t>华南</t>
        </is>
      </c>
      <c r="D755" s="6" t="inlineStr">
        <is>
          <t>刘强</t>
        </is>
      </c>
      <c r="E755" s="6" t="inlineStr">
        <is>
          <t>锐动体育用品</t>
        </is>
      </c>
      <c r="F755" s="7" t="n">
        <v>35100</v>
      </c>
      <c r="G755" s="7" t="n">
        <v>19900</v>
      </c>
      <c r="H755" s="7" t="n">
        <v>15200</v>
      </c>
      <c r="I755" s="8" t="n">
        <v>0.433048433048433</v>
      </c>
    </row>
    <row r="756">
      <c r="A756" s="6" t="inlineStr">
        <is>
          <t>2025-08</t>
        </is>
      </c>
      <c r="B756" s="6" t="inlineStr">
        <is>
          <t>训练服饰</t>
        </is>
      </c>
      <c r="C756" s="6" t="inlineStr">
        <is>
          <t>华南</t>
        </is>
      </c>
      <c r="D756" s="6" t="inlineStr">
        <is>
          <t>陈静</t>
        </is>
      </c>
      <c r="E756" s="6" t="inlineStr">
        <is>
          <t>风尚健身</t>
        </is>
      </c>
      <c r="F756" s="7" t="n">
        <v>41600</v>
      </c>
      <c r="G756" s="7" t="n">
        <v>23200</v>
      </c>
      <c r="H756" s="7" t="n">
        <v>18400</v>
      </c>
      <c r="I756" s="8" t="n">
        <v>0.4423076923076923</v>
      </c>
    </row>
    <row r="757">
      <c r="A757" s="6" t="inlineStr">
        <is>
          <t>2025-08</t>
        </is>
      </c>
      <c r="B757" s="6" t="inlineStr">
        <is>
          <t>训练服饰</t>
        </is>
      </c>
      <c r="C757" s="6" t="inlineStr">
        <is>
          <t>西部</t>
        </is>
      </c>
      <c r="D757" s="6" t="inlineStr">
        <is>
          <t>张伟</t>
        </is>
      </c>
      <c r="E757" s="6" t="inlineStr">
        <is>
          <t>优加体能中心</t>
        </is>
      </c>
      <c r="F757" s="7" t="n">
        <v>28300</v>
      </c>
      <c r="G757" s="7" t="n">
        <v>15300</v>
      </c>
      <c r="H757" s="7" t="n">
        <v>13000</v>
      </c>
      <c r="I757" s="8" t="n">
        <v>0.4593639575971731</v>
      </c>
    </row>
    <row r="758">
      <c r="A758" s="6" t="inlineStr">
        <is>
          <t>2025-08</t>
        </is>
      </c>
      <c r="B758" s="6" t="inlineStr">
        <is>
          <t>训练服饰</t>
        </is>
      </c>
      <c r="C758" s="6" t="inlineStr">
        <is>
          <t>西部</t>
        </is>
      </c>
      <c r="D758" s="6" t="inlineStr">
        <is>
          <t>李娜</t>
        </is>
      </c>
      <c r="E758" s="6" t="inlineStr">
        <is>
          <t>活力无限健身</t>
        </is>
      </c>
      <c r="F758" s="7" t="n">
        <v>23600</v>
      </c>
      <c r="G758" s="7" t="n">
        <v>12600</v>
      </c>
      <c r="H758" s="7" t="n">
        <v>11000</v>
      </c>
      <c r="I758" s="8" t="n">
        <v>0.4661016949152542</v>
      </c>
    </row>
    <row r="759">
      <c r="A759" s="6" t="inlineStr">
        <is>
          <t>2025-08</t>
        </is>
      </c>
      <c r="B759" s="6" t="inlineStr">
        <is>
          <t>训练服饰</t>
        </is>
      </c>
      <c r="C759" s="6" t="inlineStr">
        <is>
          <t>西部</t>
        </is>
      </c>
      <c r="D759" s="6" t="inlineStr">
        <is>
          <t>王芳</t>
        </is>
      </c>
      <c r="E759" s="6" t="inlineStr">
        <is>
          <t>阳光体能</t>
        </is>
      </c>
      <c r="F759" s="7" t="n">
        <v>28600</v>
      </c>
      <c r="G759" s="7" t="n">
        <v>15200</v>
      </c>
      <c r="H759" s="7" t="n">
        <v>13400</v>
      </c>
      <c r="I759" s="8" t="n">
        <v>0.4685314685314685</v>
      </c>
    </row>
    <row r="760">
      <c r="A760" s="6" t="inlineStr">
        <is>
          <t>2025-08</t>
        </is>
      </c>
      <c r="B760" s="6" t="inlineStr">
        <is>
          <t>训练服饰</t>
        </is>
      </c>
      <c r="C760" s="6" t="inlineStr">
        <is>
          <t>西部</t>
        </is>
      </c>
      <c r="D760" s="6" t="inlineStr">
        <is>
          <t>刘强</t>
        </is>
      </c>
      <c r="E760" s="6" t="inlineStr">
        <is>
          <t>恒康营养</t>
        </is>
      </c>
      <c r="F760" s="7" t="n">
        <v>23200</v>
      </c>
      <c r="G760" s="7" t="n">
        <v>13100</v>
      </c>
      <c r="H760" s="7" t="n">
        <v>10100</v>
      </c>
      <c r="I760" s="8" t="n">
        <v>0.4353448275862069</v>
      </c>
    </row>
    <row r="761">
      <c r="A761" s="6" t="inlineStr">
        <is>
          <t>2025-08</t>
        </is>
      </c>
      <c r="B761" s="6" t="inlineStr">
        <is>
          <t>训练服饰</t>
        </is>
      </c>
      <c r="C761" s="6" t="inlineStr">
        <is>
          <t>西部</t>
        </is>
      </c>
      <c r="D761" s="6" t="inlineStr">
        <is>
          <t>陈静</t>
        </is>
      </c>
      <c r="E761" s="6" t="inlineStr">
        <is>
          <t>优加体能中心</t>
        </is>
      </c>
      <c r="F761" s="7" t="n">
        <v>27300</v>
      </c>
      <c r="G761" s="7" t="n">
        <v>14400</v>
      </c>
      <c r="H761" s="7" t="n">
        <v>12900</v>
      </c>
      <c r="I761" s="8" t="n">
        <v>0.4725274725274725</v>
      </c>
    </row>
    <row r="762">
      <c r="A762" s="6" t="inlineStr">
        <is>
          <t>2025-08</t>
        </is>
      </c>
      <c r="B762" s="6" t="inlineStr">
        <is>
          <t>营养补给</t>
        </is>
      </c>
      <c r="C762" s="6" t="inlineStr">
        <is>
          <t>华东</t>
        </is>
      </c>
      <c r="D762" s="6" t="inlineStr">
        <is>
          <t>张伟</t>
        </is>
      </c>
      <c r="E762" s="6" t="inlineStr">
        <is>
          <t>迈步体育</t>
        </is>
      </c>
      <c r="F762" s="7" t="n">
        <v>51500</v>
      </c>
      <c r="G762" s="7" t="n">
        <v>40100</v>
      </c>
      <c r="H762" s="7" t="n">
        <v>11400</v>
      </c>
      <c r="I762" s="8" t="n">
        <v>0.2213592233009709</v>
      </c>
    </row>
    <row r="763">
      <c r="A763" s="6" t="inlineStr">
        <is>
          <t>2025-08</t>
        </is>
      </c>
      <c r="B763" s="6" t="inlineStr">
        <is>
          <t>营养补给</t>
        </is>
      </c>
      <c r="C763" s="6" t="inlineStr">
        <is>
          <t>华东</t>
        </is>
      </c>
      <c r="D763" s="6" t="inlineStr">
        <is>
          <t>李娜</t>
        </is>
      </c>
      <c r="E763" s="6" t="inlineStr">
        <is>
          <t>风尚健身</t>
        </is>
      </c>
      <c r="F763" s="7" t="n">
        <v>55400</v>
      </c>
      <c r="G763" s="7" t="n">
        <v>41800</v>
      </c>
      <c r="H763" s="7" t="n">
        <v>13600</v>
      </c>
      <c r="I763" s="8" t="n">
        <v>0.2454873646209386</v>
      </c>
    </row>
    <row r="764">
      <c r="A764" s="6" t="inlineStr">
        <is>
          <t>2025-08</t>
        </is>
      </c>
      <c r="B764" s="6" t="inlineStr">
        <is>
          <t>营养补给</t>
        </is>
      </c>
      <c r="C764" s="6" t="inlineStr">
        <is>
          <t>华东</t>
        </is>
      </c>
      <c r="D764" s="6" t="inlineStr">
        <is>
          <t>王芳</t>
        </is>
      </c>
      <c r="E764" s="6" t="inlineStr">
        <is>
          <t>健将体育</t>
        </is>
      </c>
      <c r="F764" s="7" t="n">
        <v>54600</v>
      </c>
      <c r="G764" s="7" t="n">
        <v>42000</v>
      </c>
      <c r="H764" s="7" t="n">
        <v>12600</v>
      </c>
      <c r="I764" s="8" t="n">
        <v>0.2307692307692308</v>
      </c>
    </row>
    <row r="765">
      <c r="A765" s="6" t="inlineStr">
        <is>
          <t>2025-08</t>
        </is>
      </c>
      <c r="B765" s="6" t="inlineStr">
        <is>
          <t>营养补给</t>
        </is>
      </c>
      <c r="C765" s="6" t="inlineStr">
        <is>
          <t>华东</t>
        </is>
      </c>
      <c r="D765" s="6" t="inlineStr">
        <is>
          <t>刘强</t>
        </is>
      </c>
      <c r="E765" s="6" t="inlineStr">
        <is>
          <t>动能营养</t>
        </is>
      </c>
      <c r="F765" s="7" t="n">
        <v>62700</v>
      </c>
      <c r="G765" s="7" t="n">
        <v>48000</v>
      </c>
      <c r="H765" s="7" t="n">
        <v>14700</v>
      </c>
      <c r="I765" s="8" t="n">
        <v>0.2344497607655502</v>
      </c>
    </row>
    <row r="766">
      <c r="A766" s="6" t="inlineStr">
        <is>
          <t>2025-08</t>
        </is>
      </c>
      <c r="B766" s="6" t="inlineStr">
        <is>
          <t>营养补给</t>
        </is>
      </c>
      <c r="C766" s="6" t="inlineStr">
        <is>
          <t>华东</t>
        </is>
      </c>
      <c r="D766" s="6" t="inlineStr">
        <is>
          <t>陈静</t>
        </is>
      </c>
      <c r="E766" s="6" t="inlineStr">
        <is>
          <t>极客穿戴</t>
        </is>
      </c>
      <c r="F766" s="7" t="n">
        <v>52600</v>
      </c>
      <c r="G766" s="7" t="n">
        <v>40000</v>
      </c>
      <c r="H766" s="7" t="n">
        <v>12600</v>
      </c>
      <c r="I766" s="8" t="n">
        <v>0.2395437262357414</v>
      </c>
    </row>
    <row r="767">
      <c r="A767" s="6" t="inlineStr">
        <is>
          <t>2025-08</t>
        </is>
      </c>
      <c r="B767" s="6" t="inlineStr">
        <is>
          <t>营养补给</t>
        </is>
      </c>
      <c r="C767" s="6" t="inlineStr">
        <is>
          <t>华北</t>
        </is>
      </c>
      <c r="D767" s="6" t="inlineStr">
        <is>
          <t>张伟</t>
        </is>
      </c>
      <c r="E767" s="6" t="inlineStr">
        <is>
          <t>跃动少儿运动馆</t>
        </is>
      </c>
      <c r="F767" s="7" t="n">
        <v>48200</v>
      </c>
      <c r="G767" s="7" t="n">
        <v>35300</v>
      </c>
      <c r="H767" s="7" t="n">
        <v>12900</v>
      </c>
      <c r="I767" s="8" t="n">
        <v>0.2676348547717842</v>
      </c>
    </row>
    <row r="768">
      <c r="A768" s="6" t="inlineStr">
        <is>
          <t>2025-08</t>
        </is>
      </c>
      <c r="B768" s="6" t="inlineStr">
        <is>
          <t>营养补给</t>
        </is>
      </c>
      <c r="C768" s="6" t="inlineStr">
        <is>
          <t>华北</t>
        </is>
      </c>
      <c r="D768" s="6" t="inlineStr">
        <is>
          <t>李娜</t>
        </is>
      </c>
      <c r="E768" s="6" t="inlineStr">
        <is>
          <t>雷霆篮球</t>
        </is>
      </c>
      <c r="F768" s="7" t="n">
        <v>44200</v>
      </c>
      <c r="G768" s="7" t="n">
        <v>33000</v>
      </c>
      <c r="H768" s="7" t="n">
        <v>11200</v>
      </c>
      <c r="I768" s="8" t="n">
        <v>0.253393665158371</v>
      </c>
    </row>
    <row r="769">
      <c r="A769" s="6" t="inlineStr">
        <is>
          <t>2025-08</t>
        </is>
      </c>
      <c r="B769" s="6" t="inlineStr">
        <is>
          <t>营养补给</t>
        </is>
      </c>
      <c r="C769" s="6" t="inlineStr">
        <is>
          <t>华北</t>
        </is>
      </c>
      <c r="D769" s="6" t="inlineStr">
        <is>
          <t>王芳</t>
        </is>
      </c>
      <c r="E769" s="6" t="inlineStr">
        <is>
          <t>冠军之路俱乐部</t>
        </is>
      </c>
      <c r="F769" s="7" t="n">
        <v>52700</v>
      </c>
      <c r="G769" s="7" t="n">
        <v>40600</v>
      </c>
      <c r="H769" s="7" t="n">
        <v>12100</v>
      </c>
      <c r="I769" s="8" t="n">
        <v>0.2296015180265655</v>
      </c>
    </row>
    <row r="770">
      <c r="A770" s="6" t="inlineStr">
        <is>
          <t>2025-08</t>
        </is>
      </c>
      <c r="B770" s="6" t="inlineStr">
        <is>
          <t>营养补给</t>
        </is>
      </c>
      <c r="C770" s="6" t="inlineStr">
        <is>
          <t>华北</t>
        </is>
      </c>
      <c r="D770" s="6" t="inlineStr">
        <is>
          <t>刘强</t>
        </is>
      </c>
      <c r="E770" s="6" t="inlineStr">
        <is>
          <t>迈步体育</t>
        </is>
      </c>
      <c r="F770" s="7" t="n">
        <v>36300</v>
      </c>
      <c r="G770" s="7" t="n">
        <v>26300</v>
      </c>
      <c r="H770" s="7" t="n">
        <v>10000</v>
      </c>
      <c r="I770" s="8" t="n">
        <v>0.2754820936639119</v>
      </c>
    </row>
    <row r="771">
      <c r="A771" s="6" t="inlineStr">
        <is>
          <t>2025-08</t>
        </is>
      </c>
      <c r="B771" s="6" t="inlineStr">
        <is>
          <t>营养补给</t>
        </is>
      </c>
      <c r="C771" s="6" t="inlineStr">
        <is>
          <t>华北</t>
        </is>
      </c>
      <c r="D771" s="6" t="inlineStr">
        <is>
          <t>陈静</t>
        </is>
      </c>
      <c r="E771" s="6" t="inlineStr">
        <is>
          <t>恒康营养</t>
        </is>
      </c>
      <c r="F771" s="7" t="n">
        <v>46600</v>
      </c>
      <c r="G771" s="7" t="n">
        <v>33800</v>
      </c>
      <c r="H771" s="7" t="n">
        <v>12800</v>
      </c>
      <c r="I771" s="8" t="n">
        <v>0.2746781115879828</v>
      </c>
    </row>
    <row r="772">
      <c r="A772" s="6" t="inlineStr">
        <is>
          <t>2025-08</t>
        </is>
      </c>
      <c r="B772" s="6" t="inlineStr">
        <is>
          <t>营养补给</t>
        </is>
      </c>
      <c r="C772" s="6" t="inlineStr">
        <is>
          <t>华南</t>
        </is>
      </c>
      <c r="D772" s="6" t="inlineStr">
        <is>
          <t>张伟</t>
        </is>
      </c>
      <c r="E772" s="6" t="inlineStr">
        <is>
          <t>成长树运动馆</t>
        </is>
      </c>
      <c r="F772" s="7" t="n">
        <v>44700</v>
      </c>
      <c r="G772" s="7" t="n">
        <v>34600</v>
      </c>
      <c r="H772" s="7" t="n">
        <v>10100</v>
      </c>
      <c r="I772" s="8" t="n">
        <v>0.2259507829977629</v>
      </c>
    </row>
    <row r="773">
      <c r="A773" s="6" t="inlineStr">
        <is>
          <t>2025-08</t>
        </is>
      </c>
      <c r="B773" s="6" t="inlineStr">
        <is>
          <t>营养补给</t>
        </is>
      </c>
      <c r="C773" s="6" t="inlineStr">
        <is>
          <t>华南</t>
        </is>
      </c>
      <c r="D773" s="6" t="inlineStr">
        <is>
          <t>李娜</t>
        </is>
      </c>
      <c r="E773" s="6" t="inlineStr">
        <is>
          <t>腾飞体育用品</t>
        </is>
      </c>
      <c r="F773" s="7" t="n">
        <v>44000</v>
      </c>
      <c r="G773" s="7" t="n">
        <v>34100</v>
      </c>
      <c r="H773" s="7" t="n">
        <v>9900</v>
      </c>
      <c r="I773" s="8" t="n">
        <v>0.225</v>
      </c>
    </row>
    <row r="774">
      <c r="A774" s="6" t="inlineStr">
        <is>
          <t>2025-08</t>
        </is>
      </c>
      <c r="B774" s="6" t="inlineStr">
        <is>
          <t>营养补给</t>
        </is>
      </c>
      <c r="C774" s="6" t="inlineStr">
        <is>
          <t>华南</t>
        </is>
      </c>
      <c r="D774" s="6" t="inlineStr">
        <is>
          <t>王芳</t>
        </is>
      </c>
      <c r="E774" s="6" t="inlineStr">
        <is>
          <t>飞跃训练营</t>
        </is>
      </c>
      <c r="F774" s="7" t="n">
        <v>59900</v>
      </c>
      <c r="G774" s="7" t="n">
        <v>46100</v>
      </c>
      <c r="H774" s="7" t="n">
        <v>13800</v>
      </c>
      <c r="I774" s="8" t="n">
        <v>0.2303839732888147</v>
      </c>
    </row>
    <row r="775">
      <c r="A775" s="6" t="inlineStr">
        <is>
          <t>2025-08</t>
        </is>
      </c>
      <c r="B775" s="6" t="inlineStr">
        <is>
          <t>营养补给</t>
        </is>
      </c>
      <c r="C775" s="6" t="inlineStr">
        <is>
          <t>华南</t>
        </is>
      </c>
      <c r="D775" s="6" t="inlineStr">
        <is>
          <t>刘强</t>
        </is>
      </c>
      <c r="E775" s="6" t="inlineStr">
        <is>
          <t>环宇体育</t>
        </is>
      </c>
      <c r="F775" s="7" t="n">
        <v>50600</v>
      </c>
      <c r="G775" s="7" t="n">
        <v>39100</v>
      </c>
      <c r="H775" s="7" t="n">
        <v>11500</v>
      </c>
      <c r="I775" s="8" t="n">
        <v>0.2272727272727273</v>
      </c>
    </row>
    <row r="776">
      <c r="A776" s="6" t="inlineStr">
        <is>
          <t>2025-08</t>
        </is>
      </c>
      <c r="B776" s="6" t="inlineStr">
        <is>
          <t>营养补给</t>
        </is>
      </c>
      <c r="C776" s="6" t="inlineStr">
        <is>
          <t>华南</t>
        </is>
      </c>
      <c r="D776" s="6" t="inlineStr">
        <is>
          <t>陈静</t>
        </is>
      </c>
      <c r="E776" s="6" t="inlineStr">
        <is>
          <t>纵横运动</t>
        </is>
      </c>
      <c r="F776" s="7" t="n">
        <v>49500</v>
      </c>
      <c r="G776" s="7" t="n">
        <v>38100</v>
      </c>
      <c r="H776" s="7" t="n">
        <v>11400</v>
      </c>
      <c r="I776" s="8" t="n">
        <v>0.2303030303030303</v>
      </c>
    </row>
    <row r="777">
      <c r="A777" s="6" t="inlineStr">
        <is>
          <t>2025-08</t>
        </is>
      </c>
      <c r="B777" s="6" t="inlineStr">
        <is>
          <t>营养补给</t>
        </is>
      </c>
      <c r="C777" s="6" t="inlineStr">
        <is>
          <t>西部</t>
        </is>
      </c>
      <c r="D777" s="6" t="inlineStr">
        <is>
          <t>张伟</t>
        </is>
      </c>
      <c r="E777" s="6" t="inlineStr">
        <is>
          <t>风尚健身</t>
        </is>
      </c>
      <c r="F777" s="7" t="n">
        <v>30400</v>
      </c>
      <c r="G777" s="7" t="n">
        <v>22300</v>
      </c>
      <c r="H777" s="7" t="n">
        <v>8100</v>
      </c>
      <c r="I777" s="8" t="n">
        <v>0.2664473684210527</v>
      </c>
    </row>
    <row r="778">
      <c r="A778" s="6" t="inlineStr">
        <is>
          <t>2025-08</t>
        </is>
      </c>
      <c r="B778" s="6" t="inlineStr">
        <is>
          <t>营养补给</t>
        </is>
      </c>
      <c r="C778" s="6" t="inlineStr">
        <is>
          <t>西部</t>
        </is>
      </c>
      <c r="D778" s="6" t="inlineStr">
        <is>
          <t>李娜</t>
        </is>
      </c>
      <c r="E778" s="6" t="inlineStr">
        <is>
          <t>乐动体育</t>
        </is>
      </c>
      <c r="F778" s="7" t="n">
        <v>33700</v>
      </c>
      <c r="G778" s="7" t="n">
        <v>25700</v>
      </c>
      <c r="H778" s="7" t="n">
        <v>8000</v>
      </c>
      <c r="I778" s="8" t="n">
        <v>0.2373887240356083</v>
      </c>
    </row>
    <row r="779">
      <c r="A779" s="6" t="inlineStr">
        <is>
          <t>2025-08</t>
        </is>
      </c>
      <c r="B779" s="6" t="inlineStr">
        <is>
          <t>营养补给</t>
        </is>
      </c>
      <c r="C779" s="6" t="inlineStr">
        <is>
          <t>西部</t>
        </is>
      </c>
      <c r="D779" s="6" t="inlineStr">
        <is>
          <t>王芳</t>
        </is>
      </c>
      <c r="E779" s="6" t="inlineStr">
        <is>
          <t>智练体育</t>
        </is>
      </c>
      <c r="F779" s="7" t="n">
        <v>33300</v>
      </c>
      <c r="G779" s="7" t="n">
        <v>24600</v>
      </c>
      <c r="H779" s="7" t="n">
        <v>8700</v>
      </c>
      <c r="I779" s="8" t="n">
        <v>0.2612612612612613</v>
      </c>
    </row>
    <row r="780">
      <c r="A780" s="6" t="inlineStr">
        <is>
          <t>2025-08</t>
        </is>
      </c>
      <c r="B780" s="6" t="inlineStr">
        <is>
          <t>营养补给</t>
        </is>
      </c>
      <c r="C780" s="6" t="inlineStr">
        <is>
          <t>西部</t>
        </is>
      </c>
      <c r="D780" s="6" t="inlineStr">
        <is>
          <t>刘强</t>
        </is>
      </c>
      <c r="E780" s="6" t="inlineStr">
        <is>
          <t>启航健身中心</t>
        </is>
      </c>
      <c r="F780" s="7" t="n">
        <v>31700</v>
      </c>
      <c r="G780" s="7" t="n">
        <v>23000</v>
      </c>
      <c r="H780" s="7" t="n">
        <v>8700</v>
      </c>
      <c r="I780" s="8" t="n">
        <v>0.2744479495268139</v>
      </c>
    </row>
    <row r="781">
      <c r="A781" s="6" t="inlineStr">
        <is>
          <t>2025-08</t>
        </is>
      </c>
      <c r="B781" s="6" t="inlineStr">
        <is>
          <t>营养补给</t>
        </is>
      </c>
      <c r="C781" s="6" t="inlineStr">
        <is>
          <t>西部</t>
        </is>
      </c>
      <c r="D781" s="6" t="inlineStr">
        <is>
          <t>陈静</t>
        </is>
      </c>
      <c r="E781" s="6" t="inlineStr">
        <is>
          <t>乐动体育</t>
        </is>
      </c>
      <c r="F781" s="7" t="n">
        <v>32300</v>
      </c>
      <c r="G781" s="7" t="n">
        <v>25000</v>
      </c>
      <c r="H781" s="7" t="n">
        <v>7300</v>
      </c>
      <c r="I781" s="8" t="n">
        <v>0.2260061919504644</v>
      </c>
    </row>
    <row r="782">
      <c r="A782" s="6" t="inlineStr">
        <is>
          <t>2025-08</t>
        </is>
      </c>
      <c r="B782" s="6" t="inlineStr">
        <is>
          <t>智能穿戴</t>
        </is>
      </c>
      <c r="C782" s="6" t="inlineStr">
        <is>
          <t>华东</t>
        </is>
      </c>
      <c r="D782" s="6" t="inlineStr">
        <is>
          <t>张伟</t>
        </is>
      </c>
      <c r="E782" s="6" t="inlineStr">
        <is>
          <t>风尚健身</t>
        </is>
      </c>
      <c r="F782" s="7" t="n">
        <v>92100</v>
      </c>
      <c r="G782" s="7" t="n">
        <v>56500</v>
      </c>
      <c r="H782" s="7" t="n">
        <v>35600</v>
      </c>
      <c r="I782" s="8" t="n">
        <v>0.3865363735070576</v>
      </c>
    </row>
    <row r="783">
      <c r="A783" s="6" t="inlineStr">
        <is>
          <t>2025-08</t>
        </is>
      </c>
      <c r="B783" s="6" t="inlineStr">
        <is>
          <t>智能穿戴</t>
        </is>
      </c>
      <c r="C783" s="6" t="inlineStr">
        <is>
          <t>华东</t>
        </is>
      </c>
      <c r="D783" s="6" t="inlineStr">
        <is>
          <t>李娜</t>
        </is>
      </c>
      <c r="E783" s="6" t="inlineStr">
        <is>
          <t>启航健身中心</t>
        </is>
      </c>
      <c r="F783" s="7" t="n">
        <v>86000</v>
      </c>
      <c r="G783" s="7" t="n">
        <v>53700</v>
      </c>
      <c r="H783" s="7" t="n">
        <v>32300</v>
      </c>
      <c r="I783" s="8" t="n">
        <v>0.3755813953488372</v>
      </c>
    </row>
    <row r="784">
      <c r="A784" s="6" t="inlineStr">
        <is>
          <t>2025-08</t>
        </is>
      </c>
      <c r="B784" s="6" t="inlineStr">
        <is>
          <t>智能穿戴</t>
        </is>
      </c>
      <c r="C784" s="6" t="inlineStr">
        <is>
          <t>华东</t>
        </is>
      </c>
      <c r="D784" s="6" t="inlineStr">
        <is>
          <t>王芳</t>
        </is>
      </c>
      <c r="E784" s="6" t="inlineStr">
        <is>
          <t>小飞侠运动俱乐部</t>
        </is>
      </c>
      <c r="F784" s="7" t="n">
        <v>82300</v>
      </c>
      <c r="G784" s="7" t="n">
        <v>51900</v>
      </c>
      <c r="H784" s="7" t="n">
        <v>30400</v>
      </c>
      <c r="I784" s="8" t="n">
        <v>0.3693803159173755</v>
      </c>
    </row>
    <row r="785">
      <c r="A785" s="6" t="inlineStr">
        <is>
          <t>2025-08</t>
        </is>
      </c>
      <c r="B785" s="6" t="inlineStr">
        <is>
          <t>智能穿戴</t>
        </is>
      </c>
      <c r="C785" s="6" t="inlineStr">
        <is>
          <t>华东</t>
        </is>
      </c>
      <c r="D785" s="6" t="inlineStr">
        <is>
          <t>刘强</t>
        </is>
      </c>
      <c r="E785" s="6" t="inlineStr">
        <is>
          <t>跃动少儿运动馆</t>
        </is>
      </c>
      <c r="F785" s="7" t="n">
        <v>76300</v>
      </c>
      <c r="G785" s="7" t="n">
        <v>49400</v>
      </c>
      <c r="H785" s="7" t="n">
        <v>26900</v>
      </c>
      <c r="I785" s="8" t="n">
        <v>0.3525557011795544</v>
      </c>
    </row>
    <row r="786">
      <c r="A786" s="6" t="inlineStr">
        <is>
          <t>2025-08</t>
        </is>
      </c>
      <c r="B786" s="6" t="inlineStr">
        <is>
          <t>智能穿戴</t>
        </is>
      </c>
      <c r="C786" s="6" t="inlineStr">
        <is>
          <t>华东</t>
        </is>
      </c>
      <c r="D786" s="6" t="inlineStr">
        <is>
          <t>陈静</t>
        </is>
      </c>
      <c r="E786" s="6" t="inlineStr">
        <is>
          <t>童行运动馆</t>
        </is>
      </c>
      <c r="F786" s="7" t="n">
        <v>81700</v>
      </c>
      <c r="G786" s="7" t="n">
        <v>51700</v>
      </c>
      <c r="H786" s="7" t="n">
        <v>30000</v>
      </c>
      <c r="I786" s="8" t="n">
        <v>0.3671970624235006</v>
      </c>
    </row>
    <row r="787">
      <c r="A787" s="6" t="inlineStr">
        <is>
          <t>2025-08</t>
        </is>
      </c>
      <c r="B787" s="6" t="inlineStr">
        <is>
          <t>智能穿戴</t>
        </is>
      </c>
      <c r="C787" s="6" t="inlineStr">
        <is>
          <t>华北</t>
        </is>
      </c>
      <c r="D787" s="6" t="inlineStr">
        <is>
          <t>张伟</t>
        </is>
      </c>
      <c r="E787" s="6" t="inlineStr">
        <is>
          <t>动能营养</t>
        </is>
      </c>
      <c r="F787" s="7" t="n">
        <v>69900</v>
      </c>
      <c r="G787" s="7" t="n">
        <v>43000</v>
      </c>
      <c r="H787" s="7" t="n">
        <v>26900</v>
      </c>
      <c r="I787" s="8" t="n">
        <v>0.3848354792560801</v>
      </c>
    </row>
    <row r="788">
      <c r="A788" s="6" t="inlineStr">
        <is>
          <t>2025-08</t>
        </is>
      </c>
      <c r="B788" s="6" t="inlineStr">
        <is>
          <t>智能穿戴</t>
        </is>
      </c>
      <c r="C788" s="6" t="inlineStr">
        <is>
          <t>华北</t>
        </is>
      </c>
      <c r="D788" s="6" t="inlineStr">
        <is>
          <t>李娜</t>
        </is>
      </c>
      <c r="E788" s="6" t="inlineStr">
        <is>
          <t>巅峰运动</t>
        </is>
      </c>
      <c r="F788" s="7" t="n">
        <v>58600</v>
      </c>
      <c r="G788" s="7" t="n">
        <v>36600</v>
      </c>
      <c r="H788" s="7" t="n">
        <v>22000</v>
      </c>
      <c r="I788" s="8" t="n">
        <v>0.3754266211604095</v>
      </c>
    </row>
    <row r="789">
      <c r="A789" s="6" t="inlineStr">
        <is>
          <t>2025-08</t>
        </is>
      </c>
      <c r="B789" s="6" t="inlineStr">
        <is>
          <t>智能穿戴</t>
        </is>
      </c>
      <c r="C789" s="6" t="inlineStr">
        <is>
          <t>华北</t>
        </is>
      </c>
      <c r="D789" s="6" t="inlineStr">
        <is>
          <t>王芳</t>
        </is>
      </c>
      <c r="E789" s="6" t="inlineStr">
        <is>
          <t>康威运动商城</t>
        </is>
      </c>
      <c r="F789" s="7" t="n">
        <v>71300</v>
      </c>
      <c r="G789" s="7" t="n">
        <v>45500</v>
      </c>
      <c r="H789" s="7" t="n">
        <v>25800</v>
      </c>
      <c r="I789" s="8" t="n">
        <v>0.361851332398317</v>
      </c>
    </row>
    <row r="790">
      <c r="A790" s="6" t="inlineStr">
        <is>
          <t>2025-08</t>
        </is>
      </c>
      <c r="B790" s="6" t="inlineStr">
        <is>
          <t>智能穿戴</t>
        </is>
      </c>
      <c r="C790" s="6" t="inlineStr">
        <is>
          <t>华北</t>
        </is>
      </c>
      <c r="D790" s="6" t="inlineStr">
        <is>
          <t>刘强</t>
        </is>
      </c>
      <c r="E790" s="6" t="inlineStr">
        <is>
          <t>成长树运动馆</t>
        </is>
      </c>
      <c r="F790" s="7" t="n">
        <v>55900</v>
      </c>
      <c r="G790" s="7" t="n">
        <v>34400</v>
      </c>
      <c r="H790" s="7" t="n">
        <v>21500</v>
      </c>
      <c r="I790" s="8" t="n">
        <v>0.3846153846153846</v>
      </c>
    </row>
    <row r="791">
      <c r="A791" s="6" t="inlineStr">
        <is>
          <t>2025-08</t>
        </is>
      </c>
      <c r="B791" s="6" t="inlineStr">
        <is>
          <t>智能穿戴</t>
        </is>
      </c>
      <c r="C791" s="6" t="inlineStr">
        <is>
          <t>华北</t>
        </is>
      </c>
      <c r="D791" s="6" t="inlineStr">
        <is>
          <t>陈静</t>
        </is>
      </c>
      <c r="E791" s="6" t="inlineStr">
        <is>
          <t>小小运动家</t>
        </is>
      </c>
      <c r="F791" s="7" t="n">
        <v>69300</v>
      </c>
      <c r="G791" s="7" t="n">
        <v>43500</v>
      </c>
      <c r="H791" s="7" t="n">
        <v>25800</v>
      </c>
      <c r="I791" s="8" t="n">
        <v>0.3722943722943723</v>
      </c>
    </row>
    <row r="792">
      <c r="A792" s="6" t="inlineStr">
        <is>
          <t>2025-08</t>
        </is>
      </c>
      <c r="B792" s="6" t="inlineStr">
        <is>
          <t>智能穿戴</t>
        </is>
      </c>
      <c r="C792" s="6" t="inlineStr">
        <is>
          <t>华南</t>
        </is>
      </c>
      <c r="D792" s="6" t="inlineStr">
        <is>
          <t>张伟</t>
        </is>
      </c>
      <c r="E792" s="6" t="inlineStr">
        <is>
          <t>巅峰运动</t>
        </is>
      </c>
      <c r="F792" s="7" t="n">
        <v>72800</v>
      </c>
      <c r="G792" s="7" t="n">
        <v>46100</v>
      </c>
      <c r="H792" s="7" t="n">
        <v>26700</v>
      </c>
      <c r="I792" s="8" t="n">
        <v>0.3667582417582417</v>
      </c>
    </row>
    <row r="793">
      <c r="A793" s="6" t="inlineStr">
        <is>
          <t>2025-08</t>
        </is>
      </c>
      <c r="B793" s="6" t="inlineStr">
        <is>
          <t>智能穿戴</t>
        </is>
      </c>
      <c r="C793" s="6" t="inlineStr">
        <is>
          <t>华南</t>
        </is>
      </c>
      <c r="D793" s="6" t="inlineStr">
        <is>
          <t>李娜</t>
        </is>
      </c>
      <c r="E793" s="6" t="inlineStr">
        <is>
          <t>飞跃训练营</t>
        </is>
      </c>
      <c r="F793" s="7" t="n">
        <v>74000</v>
      </c>
      <c r="G793" s="7" t="n">
        <v>44800</v>
      </c>
      <c r="H793" s="7" t="n">
        <v>29200</v>
      </c>
      <c r="I793" s="8" t="n">
        <v>0.3945945945945946</v>
      </c>
    </row>
    <row r="794">
      <c r="A794" s="6" t="inlineStr">
        <is>
          <t>2025-08</t>
        </is>
      </c>
      <c r="B794" s="6" t="inlineStr">
        <is>
          <t>智能穿戴</t>
        </is>
      </c>
      <c r="C794" s="6" t="inlineStr">
        <is>
          <t>华南</t>
        </is>
      </c>
      <c r="D794" s="6" t="inlineStr">
        <is>
          <t>王芳</t>
        </is>
      </c>
      <c r="E794" s="6" t="inlineStr">
        <is>
          <t>康威运动商城</t>
        </is>
      </c>
      <c r="F794" s="7" t="n">
        <v>67700</v>
      </c>
      <c r="G794" s="7" t="n">
        <v>43600</v>
      </c>
      <c r="H794" s="7" t="n">
        <v>24100</v>
      </c>
      <c r="I794" s="8" t="n">
        <v>0.3559822747415066</v>
      </c>
    </row>
    <row r="795">
      <c r="A795" s="6" t="inlineStr">
        <is>
          <t>2025-08</t>
        </is>
      </c>
      <c r="B795" s="6" t="inlineStr">
        <is>
          <t>智能穿戴</t>
        </is>
      </c>
      <c r="C795" s="6" t="inlineStr">
        <is>
          <t>华南</t>
        </is>
      </c>
      <c r="D795" s="6" t="inlineStr">
        <is>
          <t>刘强</t>
        </is>
      </c>
      <c r="E795" s="6" t="inlineStr">
        <is>
          <t>跃动少儿运动馆</t>
        </is>
      </c>
      <c r="F795" s="7" t="n">
        <v>57900</v>
      </c>
      <c r="G795" s="7" t="n">
        <v>36900</v>
      </c>
      <c r="H795" s="7" t="n">
        <v>21000</v>
      </c>
      <c r="I795" s="8" t="n">
        <v>0.3626943005181347</v>
      </c>
    </row>
    <row r="796">
      <c r="A796" s="6" t="inlineStr">
        <is>
          <t>2025-08</t>
        </is>
      </c>
      <c r="B796" s="6" t="inlineStr">
        <is>
          <t>智能穿戴</t>
        </is>
      </c>
      <c r="C796" s="6" t="inlineStr">
        <is>
          <t>华南</t>
        </is>
      </c>
      <c r="D796" s="6" t="inlineStr">
        <is>
          <t>陈静</t>
        </is>
      </c>
      <c r="E796" s="6" t="inlineStr">
        <is>
          <t>腾飞体育用品</t>
        </is>
      </c>
      <c r="F796" s="7" t="n">
        <v>58600</v>
      </c>
      <c r="G796" s="7" t="n">
        <v>34700</v>
      </c>
      <c r="H796" s="7" t="n">
        <v>23900</v>
      </c>
      <c r="I796" s="8" t="n">
        <v>0.4078498293515359</v>
      </c>
    </row>
    <row r="797">
      <c r="A797" s="6" t="inlineStr">
        <is>
          <t>2025-08</t>
        </is>
      </c>
      <c r="B797" s="6" t="inlineStr">
        <is>
          <t>智能穿戴</t>
        </is>
      </c>
      <c r="C797" s="6" t="inlineStr">
        <is>
          <t>西部</t>
        </is>
      </c>
      <c r="D797" s="6" t="inlineStr">
        <is>
          <t>张伟</t>
        </is>
      </c>
      <c r="E797" s="6" t="inlineStr">
        <is>
          <t>强体体育</t>
        </is>
      </c>
      <c r="F797" s="7" t="n">
        <v>38700</v>
      </c>
      <c r="G797" s="7" t="n">
        <v>23100</v>
      </c>
      <c r="H797" s="7" t="n">
        <v>15600</v>
      </c>
      <c r="I797" s="8" t="n">
        <v>0.4031007751937984</v>
      </c>
    </row>
    <row r="798">
      <c r="A798" s="6" t="inlineStr">
        <is>
          <t>2025-08</t>
        </is>
      </c>
      <c r="B798" s="6" t="inlineStr">
        <is>
          <t>智能穿戴</t>
        </is>
      </c>
      <c r="C798" s="6" t="inlineStr">
        <is>
          <t>西部</t>
        </is>
      </c>
      <c r="D798" s="6" t="inlineStr">
        <is>
          <t>李娜</t>
        </is>
      </c>
      <c r="E798" s="6" t="inlineStr">
        <is>
          <t>风尚健身</t>
        </is>
      </c>
      <c r="F798" s="7" t="n">
        <v>50300</v>
      </c>
      <c r="G798" s="7" t="n">
        <v>30300</v>
      </c>
      <c r="H798" s="7" t="n">
        <v>20000</v>
      </c>
      <c r="I798" s="8" t="n">
        <v>0.3976143141153082</v>
      </c>
    </row>
    <row r="799">
      <c r="A799" s="6" t="inlineStr">
        <is>
          <t>2025-08</t>
        </is>
      </c>
      <c r="B799" s="6" t="inlineStr">
        <is>
          <t>智能穿戴</t>
        </is>
      </c>
      <c r="C799" s="6" t="inlineStr">
        <is>
          <t>西部</t>
        </is>
      </c>
      <c r="D799" s="6" t="inlineStr">
        <is>
          <t>王芳</t>
        </is>
      </c>
      <c r="E799" s="6" t="inlineStr">
        <is>
          <t>迈步体育</t>
        </is>
      </c>
      <c r="F799" s="7" t="n">
        <v>43100</v>
      </c>
      <c r="G799" s="7" t="n">
        <v>26400</v>
      </c>
      <c r="H799" s="7" t="n">
        <v>16700</v>
      </c>
      <c r="I799" s="8" t="n">
        <v>0.3874709976798144</v>
      </c>
    </row>
    <row r="800">
      <c r="A800" s="6" t="inlineStr">
        <is>
          <t>2025-08</t>
        </is>
      </c>
      <c r="B800" s="6" t="inlineStr">
        <is>
          <t>智能穿戴</t>
        </is>
      </c>
      <c r="C800" s="6" t="inlineStr">
        <is>
          <t>西部</t>
        </is>
      </c>
      <c r="D800" s="6" t="inlineStr">
        <is>
          <t>刘强</t>
        </is>
      </c>
      <c r="E800" s="6" t="inlineStr">
        <is>
          <t>童行运动馆</t>
        </is>
      </c>
      <c r="F800" s="7" t="n">
        <v>45200</v>
      </c>
      <c r="G800" s="7" t="n">
        <v>29200</v>
      </c>
      <c r="H800" s="7" t="n">
        <v>16000</v>
      </c>
      <c r="I800" s="8" t="n">
        <v>0.3539823008849557</v>
      </c>
    </row>
    <row r="801">
      <c r="A801" s="6" t="inlineStr">
        <is>
          <t>2025-08</t>
        </is>
      </c>
      <c r="B801" s="6" t="inlineStr">
        <is>
          <t>智能穿戴</t>
        </is>
      </c>
      <c r="C801" s="6" t="inlineStr">
        <is>
          <t>西部</t>
        </is>
      </c>
      <c r="D801" s="6" t="inlineStr">
        <is>
          <t>陈静</t>
        </is>
      </c>
      <c r="E801" s="6" t="inlineStr">
        <is>
          <t>锐动体育用品</t>
        </is>
      </c>
      <c r="F801" s="7" t="n">
        <v>48800</v>
      </c>
      <c r="G801" s="7" t="n">
        <v>31700</v>
      </c>
      <c r="H801" s="7" t="n">
        <v>17100</v>
      </c>
      <c r="I801" s="8" t="n">
        <v>0.3504098360655737</v>
      </c>
    </row>
    <row r="802">
      <c r="A802" s="6" t="inlineStr">
        <is>
          <t>2025-09</t>
        </is>
      </c>
      <c r="B802" s="6" t="inlineStr">
        <is>
          <t>篮球装备</t>
        </is>
      </c>
      <c r="C802" s="6" t="inlineStr">
        <is>
          <t>华东</t>
        </is>
      </c>
      <c r="D802" s="6" t="inlineStr">
        <is>
          <t>张伟</t>
        </is>
      </c>
      <c r="E802" s="6" t="inlineStr">
        <is>
          <t>冠军之路俱乐部</t>
        </is>
      </c>
      <c r="F802" s="7" t="n">
        <v>97000</v>
      </c>
      <c r="G802" s="7" t="n">
        <v>60500</v>
      </c>
      <c r="H802" s="7" t="n">
        <v>36500</v>
      </c>
      <c r="I802" s="8" t="n">
        <v>0.3762886597938144</v>
      </c>
    </row>
    <row r="803">
      <c r="A803" s="6" t="inlineStr">
        <is>
          <t>2025-09</t>
        </is>
      </c>
      <c r="B803" s="6" t="inlineStr">
        <is>
          <t>篮球装备</t>
        </is>
      </c>
      <c r="C803" s="6" t="inlineStr">
        <is>
          <t>华东</t>
        </is>
      </c>
      <c r="D803" s="6" t="inlineStr">
        <is>
          <t>李娜</t>
        </is>
      </c>
      <c r="E803" s="6" t="inlineStr">
        <is>
          <t>恒康营养</t>
        </is>
      </c>
      <c r="F803" s="7" t="n">
        <v>105000</v>
      </c>
      <c r="G803" s="7" t="n">
        <v>66200</v>
      </c>
      <c r="H803" s="7" t="n">
        <v>38800</v>
      </c>
      <c r="I803" s="8" t="n">
        <v>0.3695238095238095</v>
      </c>
    </row>
    <row r="804">
      <c r="A804" s="6" t="inlineStr">
        <is>
          <t>2025-09</t>
        </is>
      </c>
      <c r="B804" s="6" t="inlineStr">
        <is>
          <t>篮球装备</t>
        </is>
      </c>
      <c r="C804" s="6" t="inlineStr">
        <is>
          <t>华东</t>
        </is>
      </c>
      <c r="D804" s="6" t="inlineStr">
        <is>
          <t>王芳</t>
        </is>
      </c>
      <c r="E804" s="6" t="inlineStr">
        <is>
          <t>小飞侠运动俱乐部</t>
        </is>
      </c>
      <c r="F804" s="7" t="n">
        <v>112500</v>
      </c>
      <c r="G804" s="7" t="n">
        <v>76300</v>
      </c>
      <c r="H804" s="7" t="n">
        <v>36200</v>
      </c>
      <c r="I804" s="8" t="n">
        <v>0.3217777777777778</v>
      </c>
    </row>
    <row r="805">
      <c r="A805" s="6" t="inlineStr">
        <is>
          <t>2025-09</t>
        </is>
      </c>
      <c r="B805" s="6" t="inlineStr">
        <is>
          <t>篮球装备</t>
        </is>
      </c>
      <c r="C805" s="6" t="inlineStr">
        <is>
          <t>华东</t>
        </is>
      </c>
      <c r="D805" s="6" t="inlineStr">
        <is>
          <t>刘强</t>
        </is>
      </c>
      <c r="E805" s="6" t="inlineStr">
        <is>
          <t>启航健身中心</t>
        </is>
      </c>
      <c r="F805" s="7" t="n">
        <v>89500</v>
      </c>
      <c r="G805" s="7" t="n">
        <v>59900</v>
      </c>
      <c r="H805" s="7" t="n">
        <v>29600</v>
      </c>
      <c r="I805" s="8" t="n">
        <v>0.3307262569832402</v>
      </c>
    </row>
    <row r="806">
      <c r="A806" s="6" t="inlineStr">
        <is>
          <t>2025-09</t>
        </is>
      </c>
      <c r="B806" s="6" t="inlineStr">
        <is>
          <t>篮球装备</t>
        </is>
      </c>
      <c r="C806" s="6" t="inlineStr">
        <is>
          <t>华东</t>
        </is>
      </c>
      <c r="D806" s="6" t="inlineStr">
        <is>
          <t>陈静</t>
        </is>
      </c>
      <c r="E806" s="6" t="inlineStr">
        <is>
          <t>雷霆篮球</t>
        </is>
      </c>
      <c r="F806" s="7" t="n">
        <v>95600</v>
      </c>
      <c r="G806" s="7" t="n">
        <v>63400</v>
      </c>
      <c r="H806" s="7" t="n">
        <v>32200</v>
      </c>
      <c r="I806" s="8" t="n">
        <v>0.3368200836820084</v>
      </c>
    </row>
    <row r="807">
      <c r="A807" s="6" t="inlineStr">
        <is>
          <t>2025-09</t>
        </is>
      </c>
      <c r="B807" s="6" t="inlineStr">
        <is>
          <t>篮球装备</t>
        </is>
      </c>
      <c r="C807" s="6" t="inlineStr">
        <is>
          <t>华北</t>
        </is>
      </c>
      <c r="D807" s="6" t="inlineStr">
        <is>
          <t>张伟</t>
        </is>
      </c>
      <c r="E807" s="6" t="inlineStr">
        <is>
          <t>健将体育</t>
        </is>
      </c>
      <c r="F807" s="7" t="n">
        <v>77700</v>
      </c>
      <c r="G807" s="7" t="n">
        <v>52200</v>
      </c>
      <c r="H807" s="7" t="n">
        <v>25500</v>
      </c>
      <c r="I807" s="8" t="n">
        <v>0.3281853281853282</v>
      </c>
    </row>
    <row r="808">
      <c r="A808" s="6" t="inlineStr">
        <is>
          <t>2025-09</t>
        </is>
      </c>
      <c r="B808" s="6" t="inlineStr">
        <is>
          <t>篮球装备</t>
        </is>
      </c>
      <c r="C808" s="6" t="inlineStr">
        <is>
          <t>华北</t>
        </is>
      </c>
      <c r="D808" s="6" t="inlineStr">
        <is>
          <t>李娜</t>
        </is>
      </c>
      <c r="E808" s="6" t="inlineStr">
        <is>
          <t>锋行体育</t>
        </is>
      </c>
      <c r="F808" s="7" t="n">
        <v>88100</v>
      </c>
      <c r="G808" s="7" t="n">
        <v>57300</v>
      </c>
      <c r="H808" s="7" t="n">
        <v>30800</v>
      </c>
      <c r="I808" s="8" t="n">
        <v>0.3496027241770715</v>
      </c>
    </row>
    <row r="809">
      <c r="A809" s="6" t="inlineStr">
        <is>
          <t>2025-09</t>
        </is>
      </c>
      <c r="B809" s="6" t="inlineStr">
        <is>
          <t>篮球装备</t>
        </is>
      </c>
      <c r="C809" s="6" t="inlineStr">
        <is>
          <t>华北</t>
        </is>
      </c>
      <c r="D809" s="6" t="inlineStr">
        <is>
          <t>王芳</t>
        </is>
      </c>
      <c r="E809" s="6" t="inlineStr">
        <is>
          <t>冠军之路俱乐部</t>
        </is>
      </c>
      <c r="F809" s="7" t="n">
        <v>86600</v>
      </c>
      <c r="G809" s="7" t="n">
        <v>54600</v>
      </c>
      <c r="H809" s="7" t="n">
        <v>32000</v>
      </c>
      <c r="I809" s="8" t="n">
        <v>0.3695150115473441</v>
      </c>
    </row>
    <row r="810">
      <c r="A810" s="6" t="inlineStr">
        <is>
          <t>2025-09</t>
        </is>
      </c>
      <c r="B810" s="6" t="inlineStr">
        <is>
          <t>篮球装备</t>
        </is>
      </c>
      <c r="C810" s="6" t="inlineStr">
        <is>
          <t>华北</t>
        </is>
      </c>
      <c r="D810" s="6" t="inlineStr">
        <is>
          <t>刘强</t>
        </is>
      </c>
      <c r="E810" s="6" t="inlineStr">
        <is>
          <t>天天向上健身</t>
        </is>
      </c>
      <c r="F810" s="7" t="n">
        <v>71700</v>
      </c>
      <c r="G810" s="7" t="n">
        <v>47100</v>
      </c>
      <c r="H810" s="7" t="n">
        <v>24600</v>
      </c>
      <c r="I810" s="8" t="n">
        <v>0.3430962343096234</v>
      </c>
    </row>
    <row r="811">
      <c r="A811" s="6" t="inlineStr">
        <is>
          <t>2025-09</t>
        </is>
      </c>
      <c r="B811" s="6" t="inlineStr">
        <is>
          <t>篮球装备</t>
        </is>
      </c>
      <c r="C811" s="6" t="inlineStr">
        <is>
          <t>华北</t>
        </is>
      </c>
      <c r="D811" s="6" t="inlineStr">
        <is>
          <t>陈静</t>
        </is>
      </c>
      <c r="E811" s="6" t="inlineStr">
        <is>
          <t>动能营养</t>
        </is>
      </c>
      <c r="F811" s="7" t="n">
        <v>93900</v>
      </c>
      <c r="G811" s="7" t="n">
        <v>58900</v>
      </c>
      <c r="H811" s="7" t="n">
        <v>35000</v>
      </c>
      <c r="I811" s="8" t="n">
        <v>0.3727369542066027</v>
      </c>
    </row>
    <row r="812">
      <c r="A812" s="6" t="inlineStr">
        <is>
          <t>2025-09</t>
        </is>
      </c>
      <c r="B812" s="6" t="inlineStr">
        <is>
          <t>篮球装备</t>
        </is>
      </c>
      <c r="C812" s="6" t="inlineStr">
        <is>
          <t>华南</t>
        </is>
      </c>
      <c r="D812" s="6" t="inlineStr">
        <is>
          <t>张伟</t>
        </is>
      </c>
      <c r="E812" s="6" t="inlineStr">
        <is>
          <t>飞跃训练营</t>
        </is>
      </c>
      <c r="F812" s="7" t="n">
        <v>106600</v>
      </c>
      <c r="G812" s="7" t="n">
        <v>69300</v>
      </c>
      <c r="H812" s="7" t="n">
        <v>37300</v>
      </c>
      <c r="I812" s="8" t="n">
        <v>0.349906191369606</v>
      </c>
    </row>
    <row r="813">
      <c r="A813" s="6" t="inlineStr">
        <is>
          <t>2025-09</t>
        </is>
      </c>
      <c r="B813" s="6" t="inlineStr">
        <is>
          <t>篮球装备</t>
        </is>
      </c>
      <c r="C813" s="6" t="inlineStr">
        <is>
          <t>华南</t>
        </is>
      </c>
      <c r="D813" s="6" t="inlineStr">
        <is>
          <t>李娜</t>
        </is>
      </c>
      <c r="E813" s="6" t="inlineStr">
        <is>
          <t>雷霆篮球</t>
        </is>
      </c>
      <c r="F813" s="7" t="n">
        <v>88600</v>
      </c>
      <c r="G813" s="7" t="n">
        <v>55200</v>
      </c>
      <c r="H813" s="7" t="n">
        <v>33400</v>
      </c>
      <c r="I813" s="8" t="n">
        <v>0.3769751693002257</v>
      </c>
    </row>
    <row r="814">
      <c r="A814" s="6" t="inlineStr">
        <is>
          <t>2025-09</t>
        </is>
      </c>
      <c r="B814" s="6" t="inlineStr">
        <is>
          <t>篮球装备</t>
        </is>
      </c>
      <c r="C814" s="6" t="inlineStr">
        <is>
          <t>华南</t>
        </is>
      </c>
      <c r="D814" s="6" t="inlineStr">
        <is>
          <t>王芳</t>
        </is>
      </c>
      <c r="E814" s="6" t="inlineStr">
        <is>
          <t>风云篮球馆</t>
        </is>
      </c>
      <c r="F814" s="7" t="n">
        <v>110600</v>
      </c>
      <c r="G814" s="7" t="n">
        <v>73900</v>
      </c>
      <c r="H814" s="7" t="n">
        <v>36700</v>
      </c>
      <c r="I814" s="8" t="n">
        <v>0.3318264014466546</v>
      </c>
    </row>
    <row r="815">
      <c r="A815" s="6" t="inlineStr">
        <is>
          <t>2025-09</t>
        </is>
      </c>
      <c r="B815" s="6" t="inlineStr">
        <is>
          <t>篮球装备</t>
        </is>
      </c>
      <c r="C815" s="6" t="inlineStr">
        <is>
          <t>华南</t>
        </is>
      </c>
      <c r="D815" s="6" t="inlineStr">
        <is>
          <t>刘强</t>
        </is>
      </c>
      <c r="E815" s="6" t="inlineStr">
        <is>
          <t>风云篮球馆</t>
        </is>
      </c>
      <c r="F815" s="7" t="n">
        <v>78900</v>
      </c>
      <c r="G815" s="7" t="n">
        <v>51600</v>
      </c>
      <c r="H815" s="7" t="n">
        <v>27300</v>
      </c>
      <c r="I815" s="8" t="n">
        <v>0.3460076045627377</v>
      </c>
    </row>
    <row r="816">
      <c r="A816" s="6" t="inlineStr">
        <is>
          <t>2025-09</t>
        </is>
      </c>
      <c r="B816" s="6" t="inlineStr">
        <is>
          <t>篮球装备</t>
        </is>
      </c>
      <c r="C816" s="6" t="inlineStr">
        <is>
          <t>华南</t>
        </is>
      </c>
      <c r="D816" s="6" t="inlineStr">
        <is>
          <t>陈静</t>
        </is>
      </c>
      <c r="E816" s="6" t="inlineStr">
        <is>
          <t>智练体育</t>
        </is>
      </c>
      <c r="F816" s="7" t="n">
        <v>85700</v>
      </c>
      <c r="G816" s="7" t="n">
        <v>55200</v>
      </c>
      <c r="H816" s="7" t="n">
        <v>30500</v>
      </c>
      <c r="I816" s="8" t="n">
        <v>0.3558926487747958</v>
      </c>
    </row>
    <row r="817">
      <c r="A817" s="6" t="inlineStr">
        <is>
          <t>2025-09</t>
        </is>
      </c>
      <c r="B817" s="6" t="inlineStr">
        <is>
          <t>篮球装备</t>
        </is>
      </c>
      <c r="C817" s="6" t="inlineStr">
        <is>
          <t>西部</t>
        </is>
      </c>
      <c r="D817" s="6" t="inlineStr">
        <is>
          <t>张伟</t>
        </is>
      </c>
      <c r="E817" s="6" t="inlineStr">
        <is>
          <t>优加体能中心</t>
        </is>
      </c>
      <c r="F817" s="7" t="n">
        <v>64200</v>
      </c>
      <c r="G817" s="7" t="n">
        <v>42300</v>
      </c>
      <c r="H817" s="7" t="n">
        <v>21900</v>
      </c>
      <c r="I817" s="8" t="n">
        <v>0.3411214953271028</v>
      </c>
    </row>
    <row r="818">
      <c r="A818" s="6" t="inlineStr">
        <is>
          <t>2025-09</t>
        </is>
      </c>
      <c r="B818" s="6" t="inlineStr">
        <is>
          <t>篮球装备</t>
        </is>
      </c>
      <c r="C818" s="6" t="inlineStr">
        <is>
          <t>西部</t>
        </is>
      </c>
      <c r="D818" s="6" t="inlineStr">
        <is>
          <t>李娜</t>
        </is>
      </c>
      <c r="E818" s="6" t="inlineStr">
        <is>
          <t>星跃体育</t>
        </is>
      </c>
      <c r="F818" s="7" t="n">
        <v>66600</v>
      </c>
      <c r="G818" s="7" t="n">
        <v>44000</v>
      </c>
      <c r="H818" s="7" t="n">
        <v>22600</v>
      </c>
      <c r="I818" s="8" t="n">
        <v>0.3393393393393394</v>
      </c>
    </row>
    <row r="819">
      <c r="A819" s="6" t="inlineStr">
        <is>
          <t>2025-09</t>
        </is>
      </c>
      <c r="B819" s="6" t="inlineStr">
        <is>
          <t>篮球装备</t>
        </is>
      </c>
      <c r="C819" s="6" t="inlineStr">
        <is>
          <t>西部</t>
        </is>
      </c>
      <c r="D819" s="6" t="inlineStr">
        <is>
          <t>王芳</t>
        </is>
      </c>
      <c r="E819" s="6" t="inlineStr">
        <is>
          <t>天天向上健身</t>
        </is>
      </c>
      <c r="F819" s="7" t="n">
        <v>55500</v>
      </c>
      <c r="G819" s="7" t="n">
        <v>34700</v>
      </c>
      <c r="H819" s="7" t="n">
        <v>20800</v>
      </c>
      <c r="I819" s="8" t="n">
        <v>0.3747747747747748</v>
      </c>
    </row>
    <row r="820">
      <c r="A820" s="6" t="inlineStr">
        <is>
          <t>2025-09</t>
        </is>
      </c>
      <c r="B820" s="6" t="inlineStr">
        <is>
          <t>篮球装备</t>
        </is>
      </c>
      <c r="C820" s="6" t="inlineStr">
        <is>
          <t>西部</t>
        </is>
      </c>
      <c r="D820" s="6" t="inlineStr">
        <is>
          <t>刘强</t>
        </is>
      </c>
      <c r="E820" s="6" t="inlineStr">
        <is>
          <t>纵横运动</t>
        </is>
      </c>
      <c r="F820" s="7" t="n">
        <v>62400</v>
      </c>
      <c r="G820" s="7" t="n">
        <v>40400</v>
      </c>
      <c r="H820" s="7" t="n">
        <v>22000</v>
      </c>
      <c r="I820" s="8" t="n">
        <v>0.3525641025641026</v>
      </c>
    </row>
    <row r="821">
      <c r="A821" s="6" t="inlineStr">
        <is>
          <t>2025-09</t>
        </is>
      </c>
      <c r="B821" s="6" t="inlineStr">
        <is>
          <t>篮球装备</t>
        </is>
      </c>
      <c r="C821" s="6" t="inlineStr">
        <is>
          <t>西部</t>
        </is>
      </c>
      <c r="D821" s="6" t="inlineStr">
        <is>
          <t>陈静</t>
        </is>
      </c>
      <c r="E821" s="6" t="inlineStr">
        <is>
          <t>天天向上健身</t>
        </is>
      </c>
      <c r="F821" s="7" t="n">
        <v>65700</v>
      </c>
      <c r="G821" s="7" t="n">
        <v>44100</v>
      </c>
      <c r="H821" s="7" t="n">
        <v>21600</v>
      </c>
      <c r="I821" s="8" t="n">
        <v>0.3287671232876712</v>
      </c>
    </row>
    <row r="822">
      <c r="A822" s="6" t="inlineStr">
        <is>
          <t>2025-09</t>
        </is>
      </c>
      <c r="B822" s="6" t="inlineStr">
        <is>
          <t>体适能器材</t>
        </is>
      </c>
      <c r="C822" s="6" t="inlineStr">
        <is>
          <t>华东</t>
        </is>
      </c>
      <c r="D822" s="6" t="inlineStr">
        <is>
          <t>张伟</t>
        </is>
      </c>
      <c r="E822" s="6" t="inlineStr">
        <is>
          <t>极客穿戴</t>
        </is>
      </c>
      <c r="F822" s="7" t="n">
        <v>94300</v>
      </c>
      <c r="G822" s="7" t="n">
        <v>63600</v>
      </c>
      <c r="H822" s="7" t="n">
        <v>30700</v>
      </c>
      <c r="I822" s="8" t="n">
        <v>0.3255567338282078</v>
      </c>
    </row>
    <row r="823">
      <c r="A823" s="6" t="inlineStr">
        <is>
          <t>2025-09</t>
        </is>
      </c>
      <c r="B823" s="6" t="inlineStr">
        <is>
          <t>体适能器材</t>
        </is>
      </c>
      <c r="C823" s="6" t="inlineStr">
        <is>
          <t>华东</t>
        </is>
      </c>
      <c r="D823" s="6" t="inlineStr">
        <is>
          <t>李娜</t>
        </is>
      </c>
      <c r="E823" s="6" t="inlineStr">
        <is>
          <t>康威运动商城</t>
        </is>
      </c>
      <c r="F823" s="7" t="n">
        <v>83700</v>
      </c>
      <c r="G823" s="7" t="n">
        <v>57300</v>
      </c>
      <c r="H823" s="7" t="n">
        <v>26400</v>
      </c>
      <c r="I823" s="8" t="n">
        <v>0.3154121863799283</v>
      </c>
    </row>
    <row r="824">
      <c r="A824" s="6" t="inlineStr">
        <is>
          <t>2025-09</t>
        </is>
      </c>
      <c r="B824" s="6" t="inlineStr">
        <is>
          <t>体适能器材</t>
        </is>
      </c>
      <c r="C824" s="6" t="inlineStr">
        <is>
          <t>华东</t>
        </is>
      </c>
      <c r="D824" s="6" t="inlineStr">
        <is>
          <t>王芳</t>
        </is>
      </c>
      <c r="E824" s="6" t="inlineStr">
        <is>
          <t>极客穿戴</t>
        </is>
      </c>
      <c r="F824" s="7" t="n">
        <v>94600</v>
      </c>
      <c r="G824" s="7" t="n">
        <v>68100</v>
      </c>
      <c r="H824" s="7" t="n">
        <v>26500</v>
      </c>
      <c r="I824" s="8" t="n">
        <v>0.2801268498942918</v>
      </c>
    </row>
    <row r="825">
      <c r="A825" s="6" t="inlineStr">
        <is>
          <t>2025-09</t>
        </is>
      </c>
      <c r="B825" s="6" t="inlineStr">
        <is>
          <t>体适能器材</t>
        </is>
      </c>
      <c r="C825" s="6" t="inlineStr">
        <is>
          <t>华东</t>
        </is>
      </c>
      <c r="D825" s="6" t="inlineStr">
        <is>
          <t>刘强</t>
        </is>
      </c>
      <c r="E825" s="6" t="inlineStr">
        <is>
          <t>卓越体能训练营</t>
        </is>
      </c>
      <c r="F825" s="7" t="n">
        <v>73300</v>
      </c>
      <c r="G825" s="7" t="n">
        <v>53000</v>
      </c>
      <c r="H825" s="7" t="n">
        <v>20300</v>
      </c>
      <c r="I825" s="8" t="n">
        <v>0.2769440654843111</v>
      </c>
    </row>
    <row r="826">
      <c r="A826" s="6" t="inlineStr">
        <is>
          <t>2025-09</t>
        </is>
      </c>
      <c r="B826" s="6" t="inlineStr">
        <is>
          <t>体适能器材</t>
        </is>
      </c>
      <c r="C826" s="6" t="inlineStr">
        <is>
          <t>华东</t>
        </is>
      </c>
      <c r="D826" s="6" t="inlineStr">
        <is>
          <t>陈静</t>
        </is>
      </c>
      <c r="E826" s="6" t="inlineStr">
        <is>
          <t>纵横运动</t>
        </is>
      </c>
      <c r="F826" s="7" t="n">
        <v>86500</v>
      </c>
      <c r="G826" s="7" t="n">
        <v>61000</v>
      </c>
      <c r="H826" s="7" t="n">
        <v>25500</v>
      </c>
      <c r="I826" s="8" t="n">
        <v>0.2947976878612717</v>
      </c>
    </row>
    <row r="827">
      <c r="A827" s="6" t="inlineStr">
        <is>
          <t>2025-09</t>
        </is>
      </c>
      <c r="B827" s="6" t="inlineStr">
        <is>
          <t>体适能器材</t>
        </is>
      </c>
      <c r="C827" s="6" t="inlineStr">
        <is>
          <t>华北</t>
        </is>
      </c>
      <c r="D827" s="6" t="inlineStr">
        <is>
          <t>张伟</t>
        </is>
      </c>
      <c r="E827" s="6" t="inlineStr">
        <is>
          <t>锐健身工作室</t>
        </is>
      </c>
      <c r="F827" s="7" t="n">
        <v>71300</v>
      </c>
      <c r="G827" s="7" t="n">
        <v>50100</v>
      </c>
      <c r="H827" s="7" t="n">
        <v>21200</v>
      </c>
      <c r="I827" s="8" t="n">
        <v>0.2973352033660589</v>
      </c>
    </row>
    <row r="828">
      <c r="A828" s="6" t="inlineStr">
        <is>
          <t>2025-09</t>
        </is>
      </c>
      <c r="B828" s="6" t="inlineStr">
        <is>
          <t>体适能器材</t>
        </is>
      </c>
      <c r="C828" s="6" t="inlineStr">
        <is>
          <t>华北</t>
        </is>
      </c>
      <c r="D828" s="6" t="inlineStr">
        <is>
          <t>李娜</t>
        </is>
      </c>
      <c r="E828" s="6" t="inlineStr">
        <is>
          <t>童行运动馆</t>
        </is>
      </c>
      <c r="F828" s="7" t="n">
        <v>73600</v>
      </c>
      <c r="G828" s="7" t="n">
        <v>50500</v>
      </c>
      <c r="H828" s="7" t="n">
        <v>23100</v>
      </c>
      <c r="I828" s="8" t="n">
        <v>0.3138586956521739</v>
      </c>
    </row>
    <row r="829">
      <c r="A829" s="6" t="inlineStr">
        <is>
          <t>2025-09</t>
        </is>
      </c>
      <c r="B829" s="6" t="inlineStr">
        <is>
          <t>体适能器材</t>
        </is>
      </c>
      <c r="C829" s="6" t="inlineStr">
        <is>
          <t>华北</t>
        </is>
      </c>
      <c r="D829" s="6" t="inlineStr">
        <is>
          <t>王芳</t>
        </is>
      </c>
      <c r="E829" s="6" t="inlineStr">
        <is>
          <t>恒康营养</t>
        </is>
      </c>
      <c r="F829" s="7" t="n">
        <v>63300</v>
      </c>
      <c r="G829" s="7" t="n">
        <v>43000</v>
      </c>
      <c r="H829" s="7" t="n">
        <v>20300</v>
      </c>
      <c r="I829" s="8" t="n">
        <v>0.320695102685624</v>
      </c>
    </row>
    <row r="830">
      <c r="A830" s="6" t="inlineStr">
        <is>
          <t>2025-09</t>
        </is>
      </c>
      <c r="B830" s="6" t="inlineStr">
        <is>
          <t>体适能器材</t>
        </is>
      </c>
      <c r="C830" s="6" t="inlineStr">
        <is>
          <t>华北</t>
        </is>
      </c>
      <c r="D830" s="6" t="inlineStr">
        <is>
          <t>刘强</t>
        </is>
      </c>
      <c r="E830" s="6" t="inlineStr">
        <is>
          <t>领跑体育</t>
        </is>
      </c>
      <c r="F830" s="7" t="n">
        <v>63000</v>
      </c>
      <c r="G830" s="7" t="n">
        <v>43300</v>
      </c>
      <c r="H830" s="7" t="n">
        <v>19700</v>
      </c>
      <c r="I830" s="8" t="n">
        <v>0.3126984126984127</v>
      </c>
    </row>
    <row r="831">
      <c r="A831" s="6" t="inlineStr">
        <is>
          <t>2025-09</t>
        </is>
      </c>
      <c r="B831" s="6" t="inlineStr">
        <is>
          <t>体适能器材</t>
        </is>
      </c>
      <c r="C831" s="6" t="inlineStr">
        <is>
          <t>华北</t>
        </is>
      </c>
      <c r="D831" s="6" t="inlineStr">
        <is>
          <t>陈静</t>
        </is>
      </c>
      <c r="E831" s="6" t="inlineStr">
        <is>
          <t>星跃体育</t>
        </is>
      </c>
      <c r="F831" s="7" t="n">
        <v>59800</v>
      </c>
      <c r="G831" s="7" t="n">
        <v>43000</v>
      </c>
      <c r="H831" s="7" t="n">
        <v>16800</v>
      </c>
      <c r="I831" s="8" t="n">
        <v>0.2809364548494983</v>
      </c>
    </row>
    <row r="832">
      <c r="A832" s="6" t="inlineStr">
        <is>
          <t>2025-09</t>
        </is>
      </c>
      <c r="B832" s="6" t="inlineStr">
        <is>
          <t>体适能器材</t>
        </is>
      </c>
      <c r="C832" s="6" t="inlineStr">
        <is>
          <t>华南</t>
        </is>
      </c>
      <c r="D832" s="6" t="inlineStr">
        <is>
          <t>张伟</t>
        </is>
      </c>
      <c r="E832" s="6" t="inlineStr">
        <is>
          <t>茁长少儿体适能</t>
        </is>
      </c>
      <c r="F832" s="7" t="n">
        <v>62100</v>
      </c>
      <c r="G832" s="7" t="n">
        <v>42900</v>
      </c>
      <c r="H832" s="7" t="n">
        <v>19200</v>
      </c>
      <c r="I832" s="8" t="n">
        <v>0.3091787439613526</v>
      </c>
    </row>
    <row r="833">
      <c r="A833" s="6" t="inlineStr">
        <is>
          <t>2025-09</t>
        </is>
      </c>
      <c r="B833" s="6" t="inlineStr">
        <is>
          <t>体适能器材</t>
        </is>
      </c>
      <c r="C833" s="6" t="inlineStr">
        <is>
          <t>华南</t>
        </is>
      </c>
      <c r="D833" s="6" t="inlineStr">
        <is>
          <t>李娜</t>
        </is>
      </c>
      <c r="E833" s="6" t="inlineStr">
        <is>
          <t>乐动体育</t>
        </is>
      </c>
      <c r="F833" s="7" t="n">
        <v>75700</v>
      </c>
      <c r="G833" s="7" t="n">
        <v>53000</v>
      </c>
      <c r="H833" s="7" t="n">
        <v>22700</v>
      </c>
      <c r="I833" s="8" t="n">
        <v>0.2998678996036988</v>
      </c>
    </row>
    <row r="834">
      <c r="A834" s="6" t="inlineStr">
        <is>
          <t>2025-09</t>
        </is>
      </c>
      <c r="B834" s="6" t="inlineStr">
        <is>
          <t>体适能器材</t>
        </is>
      </c>
      <c r="C834" s="6" t="inlineStr">
        <is>
          <t>华南</t>
        </is>
      </c>
      <c r="D834" s="6" t="inlineStr">
        <is>
          <t>王芳</t>
        </is>
      </c>
      <c r="E834" s="6" t="inlineStr">
        <is>
          <t>智练体育</t>
        </is>
      </c>
      <c r="F834" s="7" t="n">
        <v>85400</v>
      </c>
      <c r="G834" s="7" t="n">
        <v>58600</v>
      </c>
      <c r="H834" s="7" t="n">
        <v>26800</v>
      </c>
      <c r="I834" s="8" t="n">
        <v>0.3138173302107728</v>
      </c>
    </row>
    <row r="835">
      <c r="A835" s="6" t="inlineStr">
        <is>
          <t>2025-09</t>
        </is>
      </c>
      <c r="B835" s="6" t="inlineStr">
        <is>
          <t>体适能器材</t>
        </is>
      </c>
      <c r="C835" s="6" t="inlineStr">
        <is>
          <t>华南</t>
        </is>
      </c>
      <c r="D835" s="6" t="inlineStr">
        <is>
          <t>刘强</t>
        </is>
      </c>
      <c r="E835" s="6" t="inlineStr">
        <is>
          <t>恒康营养</t>
        </is>
      </c>
      <c r="F835" s="7" t="n">
        <v>56500</v>
      </c>
      <c r="G835" s="7" t="n">
        <v>39800</v>
      </c>
      <c r="H835" s="7" t="n">
        <v>16700</v>
      </c>
      <c r="I835" s="8" t="n">
        <v>0.295575221238938</v>
      </c>
    </row>
    <row r="836">
      <c r="A836" s="6" t="inlineStr">
        <is>
          <t>2025-09</t>
        </is>
      </c>
      <c r="B836" s="6" t="inlineStr">
        <is>
          <t>体适能器材</t>
        </is>
      </c>
      <c r="C836" s="6" t="inlineStr">
        <is>
          <t>华南</t>
        </is>
      </c>
      <c r="D836" s="6" t="inlineStr">
        <is>
          <t>陈静</t>
        </is>
      </c>
      <c r="E836" s="6" t="inlineStr">
        <is>
          <t>元气营养</t>
        </is>
      </c>
      <c r="F836" s="7" t="n">
        <v>70100</v>
      </c>
      <c r="G836" s="7" t="n">
        <v>48400</v>
      </c>
      <c r="H836" s="7" t="n">
        <v>21700</v>
      </c>
      <c r="I836" s="8" t="n">
        <v>0.3095577746077033</v>
      </c>
    </row>
    <row r="837">
      <c r="A837" s="6" t="inlineStr">
        <is>
          <t>2025-09</t>
        </is>
      </c>
      <c r="B837" s="6" t="inlineStr">
        <is>
          <t>体适能器材</t>
        </is>
      </c>
      <c r="C837" s="6" t="inlineStr">
        <is>
          <t>西部</t>
        </is>
      </c>
      <c r="D837" s="6" t="inlineStr">
        <is>
          <t>张伟</t>
        </is>
      </c>
      <c r="E837" s="6" t="inlineStr">
        <is>
          <t>飞跃训练营</t>
        </is>
      </c>
      <c r="F837" s="7" t="n">
        <v>39700</v>
      </c>
      <c r="G837" s="7" t="n">
        <v>26800</v>
      </c>
      <c r="H837" s="7" t="n">
        <v>12900</v>
      </c>
      <c r="I837" s="8" t="n">
        <v>0.3249370277078086</v>
      </c>
    </row>
    <row r="838">
      <c r="A838" s="6" t="inlineStr">
        <is>
          <t>2025-09</t>
        </is>
      </c>
      <c r="B838" s="6" t="inlineStr">
        <is>
          <t>体适能器材</t>
        </is>
      </c>
      <c r="C838" s="6" t="inlineStr">
        <is>
          <t>西部</t>
        </is>
      </c>
      <c r="D838" s="6" t="inlineStr">
        <is>
          <t>李娜</t>
        </is>
      </c>
      <c r="E838" s="6" t="inlineStr">
        <is>
          <t>悍将运动</t>
        </is>
      </c>
      <c r="F838" s="7" t="n">
        <v>43600</v>
      </c>
      <c r="G838" s="7" t="n">
        <v>30000</v>
      </c>
      <c r="H838" s="7" t="n">
        <v>13600</v>
      </c>
      <c r="I838" s="8" t="n">
        <v>0.3119266055045872</v>
      </c>
    </row>
    <row r="839">
      <c r="A839" s="6" t="inlineStr">
        <is>
          <t>2025-09</t>
        </is>
      </c>
      <c r="B839" s="6" t="inlineStr">
        <is>
          <t>体适能器材</t>
        </is>
      </c>
      <c r="C839" s="6" t="inlineStr">
        <is>
          <t>西部</t>
        </is>
      </c>
      <c r="D839" s="6" t="inlineStr">
        <is>
          <t>王芳</t>
        </is>
      </c>
      <c r="E839" s="6" t="inlineStr">
        <is>
          <t>智练体育</t>
        </is>
      </c>
      <c r="F839" s="7" t="n">
        <v>41100</v>
      </c>
      <c r="G839" s="7" t="n">
        <v>28900</v>
      </c>
      <c r="H839" s="7" t="n">
        <v>12200</v>
      </c>
      <c r="I839" s="8" t="n">
        <v>0.2968369829683699</v>
      </c>
    </row>
    <row r="840">
      <c r="A840" s="6" t="inlineStr">
        <is>
          <t>2025-09</t>
        </is>
      </c>
      <c r="B840" s="6" t="inlineStr">
        <is>
          <t>体适能器材</t>
        </is>
      </c>
      <c r="C840" s="6" t="inlineStr">
        <is>
          <t>西部</t>
        </is>
      </c>
      <c r="D840" s="6" t="inlineStr">
        <is>
          <t>刘强</t>
        </is>
      </c>
      <c r="E840" s="6" t="inlineStr">
        <is>
          <t>童行运动馆</t>
        </is>
      </c>
      <c r="F840" s="7" t="n">
        <v>36500</v>
      </c>
      <c r="G840" s="7" t="n">
        <v>26600</v>
      </c>
      <c r="H840" s="7" t="n">
        <v>9900</v>
      </c>
      <c r="I840" s="8" t="n">
        <v>0.2712328767123288</v>
      </c>
    </row>
    <row r="841">
      <c r="A841" s="6" t="inlineStr">
        <is>
          <t>2025-09</t>
        </is>
      </c>
      <c r="B841" s="6" t="inlineStr">
        <is>
          <t>体适能器材</t>
        </is>
      </c>
      <c r="C841" s="6" t="inlineStr">
        <is>
          <t>西部</t>
        </is>
      </c>
      <c r="D841" s="6" t="inlineStr">
        <is>
          <t>陈静</t>
        </is>
      </c>
      <c r="E841" s="6" t="inlineStr">
        <is>
          <t>茁长少儿体适能</t>
        </is>
      </c>
      <c r="F841" s="7" t="n">
        <v>39400</v>
      </c>
      <c r="G841" s="7" t="n">
        <v>26800</v>
      </c>
      <c r="H841" s="7" t="n">
        <v>12600</v>
      </c>
      <c r="I841" s="8" t="n">
        <v>0.3197969543147208</v>
      </c>
    </row>
    <row r="842">
      <c r="A842" s="6" t="inlineStr">
        <is>
          <t>2025-09</t>
        </is>
      </c>
      <c r="B842" s="6" t="inlineStr">
        <is>
          <t>训练服饰</t>
        </is>
      </c>
      <c r="C842" s="6" t="inlineStr">
        <is>
          <t>华东</t>
        </is>
      </c>
      <c r="D842" s="6" t="inlineStr">
        <is>
          <t>张伟</t>
        </is>
      </c>
      <c r="E842" s="6" t="inlineStr">
        <is>
          <t>卓越体能训练营</t>
        </is>
      </c>
      <c r="F842" s="7" t="n">
        <v>54600</v>
      </c>
      <c r="G842" s="7" t="n">
        <v>31000</v>
      </c>
      <c r="H842" s="7" t="n">
        <v>23600</v>
      </c>
      <c r="I842" s="8" t="n">
        <v>0.4322344322344323</v>
      </c>
    </row>
    <row r="843">
      <c r="A843" s="6" t="inlineStr">
        <is>
          <t>2025-09</t>
        </is>
      </c>
      <c r="B843" s="6" t="inlineStr">
        <is>
          <t>训练服饰</t>
        </is>
      </c>
      <c r="C843" s="6" t="inlineStr">
        <is>
          <t>华东</t>
        </is>
      </c>
      <c r="D843" s="6" t="inlineStr">
        <is>
          <t>李娜</t>
        </is>
      </c>
      <c r="E843" s="6" t="inlineStr">
        <is>
          <t>星跃体育</t>
        </is>
      </c>
      <c r="F843" s="7" t="n">
        <v>55200</v>
      </c>
      <c r="G843" s="7" t="n">
        <v>29000</v>
      </c>
      <c r="H843" s="7" t="n">
        <v>26200</v>
      </c>
      <c r="I843" s="8" t="n">
        <v>0.4746376811594203</v>
      </c>
    </row>
    <row r="844">
      <c r="A844" s="6" t="inlineStr">
        <is>
          <t>2025-09</t>
        </is>
      </c>
      <c r="B844" s="6" t="inlineStr">
        <is>
          <t>训练服饰</t>
        </is>
      </c>
      <c r="C844" s="6" t="inlineStr">
        <is>
          <t>华东</t>
        </is>
      </c>
      <c r="D844" s="6" t="inlineStr">
        <is>
          <t>王芳</t>
        </is>
      </c>
      <c r="E844" s="6" t="inlineStr">
        <is>
          <t>小小运动家</t>
        </is>
      </c>
      <c r="F844" s="7" t="n">
        <v>61000</v>
      </c>
      <c r="G844" s="7" t="n">
        <v>33700</v>
      </c>
      <c r="H844" s="7" t="n">
        <v>27300</v>
      </c>
      <c r="I844" s="8" t="n">
        <v>0.4475409836065574</v>
      </c>
    </row>
    <row r="845">
      <c r="A845" s="6" t="inlineStr">
        <is>
          <t>2025-09</t>
        </is>
      </c>
      <c r="B845" s="6" t="inlineStr">
        <is>
          <t>训练服饰</t>
        </is>
      </c>
      <c r="C845" s="6" t="inlineStr">
        <is>
          <t>华东</t>
        </is>
      </c>
      <c r="D845" s="6" t="inlineStr">
        <is>
          <t>刘强</t>
        </is>
      </c>
      <c r="E845" s="6" t="inlineStr">
        <is>
          <t>锋行体育</t>
        </is>
      </c>
      <c r="F845" s="7" t="n">
        <v>44700</v>
      </c>
      <c r="G845" s="7" t="n">
        <v>24400</v>
      </c>
      <c r="H845" s="7" t="n">
        <v>20300</v>
      </c>
      <c r="I845" s="8" t="n">
        <v>0.4541387024608501</v>
      </c>
    </row>
    <row r="846">
      <c r="A846" s="6" t="inlineStr">
        <is>
          <t>2025-09</t>
        </is>
      </c>
      <c r="B846" s="6" t="inlineStr">
        <is>
          <t>训练服饰</t>
        </is>
      </c>
      <c r="C846" s="6" t="inlineStr">
        <is>
          <t>华东</t>
        </is>
      </c>
      <c r="D846" s="6" t="inlineStr">
        <is>
          <t>陈静</t>
        </is>
      </c>
      <c r="E846" s="6" t="inlineStr">
        <is>
          <t>飞跃训练营</t>
        </is>
      </c>
      <c r="F846" s="7" t="n">
        <v>47100</v>
      </c>
      <c r="G846" s="7" t="n">
        <v>24700</v>
      </c>
      <c r="H846" s="7" t="n">
        <v>22400</v>
      </c>
      <c r="I846" s="8" t="n">
        <v>0.475583864118896</v>
      </c>
    </row>
    <row r="847">
      <c r="A847" s="6" t="inlineStr">
        <is>
          <t>2025-09</t>
        </is>
      </c>
      <c r="B847" s="6" t="inlineStr">
        <is>
          <t>训练服饰</t>
        </is>
      </c>
      <c r="C847" s="6" t="inlineStr">
        <is>
          <t>华北</t>
        </is>
      </c>
      <c r="D847" s="6" t="inlineStr">
        <is>
          <t>张伟</t>
        </is>
      </c>
      <c r="E847" s="6" t="inlineStr">
        <is>
          <t>锐健身工作室</t>
        </is>
      </c>
      <c r="F847" s="7" t="n">
        <v>42900</v>
      </c>
      <c r="G847" s="7" t="n">
        <v>23500</v>
      </c>
      <c r="H847" s="7" t="n">
        <v>19400</v>
      </c>
      <c r="I847" s="8" t="n">
        <v>0.4522144522144522</v>
      </c>
    </row>
    <row r="848">
      <c r="A848" s="6" t="inlineStr">
        <is>
          <t>2025-09</t>
        </is>
      </c>
      <c r="B848" s="6" t="inlineStr">
        <is>
          <t>训练服饰</t>
        </is>
      </c>
      <c r="C848" s="6" t="inlineStr">
        <is>
          <t>华北</t>
        </is>
      </c>
      <c r="D848" s="6" t="inlineStr">
        <is>
          <t>李娜</t>
        </is>
      </c>
      <c r="E848" s="6" t="inlineStr">
        <is>
          <t>天天向上健身</t>
        </is>
      </c>
      <c r="F848" s="7" t="n">
        <v>42700</v>
      </c>
      <c r="G848" s="7" t="n">
        <v>24700</v>
      </c>
      <c r="H848" s="7" t="n">
        <v>18000</v>
      </c>
      <c r="I848" s="8" t="n">
        <v>0.4215456674473068</v>
      </c>
    </row>
    <row r="849">
      <c r="A849" s="6" t="inlineStr">
        <is>
          <t>2025-09</t>
        </is>
      </c>
      <c r="B849" s="6" t="inlineStr">
        <is>
          <t>训练服饰</t>
        </is>
      </c>
      <c r="C849" s="6" t="inlineStr">
        <is>
          <t>华北</t>
        </is>
      </c>
      <c r="D849" s="6" t="inlineStr">
        <is>
          <t>王芳</t>
        </is>
      </c>
      <c r="E849" s="6" t="inlineStr">
        <is>
          <t>劲爆运动用品</t>
        </is>
      </c>
      <c r="F849" s="7" t="n">
        <v>49900</v>
      </c>
      <c r="G849" s="7" t="n">
        <v>26600</v>
      </c>
      <c r="H849" s="7" t="n">
        <v>23300</v>
      </c>
      <c r="I849" s="8" t="n">
        <v>0.466933867735471</v>
      </c>
    </row>
    <row r="850">
      <c r="A850" s="6" t="inlineStr">
        <is>
          <t>2025-09</t>
        </is>
      </c>
      <c r="B850" s="6" t="inlineStr">
        <is>
          <t>训练服饰</t>
        </is>
      </c>
      <c r="C850" s="6" t="inlineStr">
        <is>
          <t>华北</t>
        </is>
      </c>
      <c r="D850" s="6" t="inlineStr">
        <is>
          <t>刘强</t>
        </is>
      </c>
      <c r="E850" s="6" t="inlineStr">
        <is>
          <t>成长树运动馆</t>
        </is>
      </c>
      <c r="F850" s="7" t="n">
        <v>45500</v>
      </c>
      <c r="G850" s="7" t="n">
        <v>26200</v>
      </c>
      <c r="H850" s="7" t="n">
        <v>19300</v>
      </c>
      <c r="I850" s="8" t="n">
        <v>0.4241758241758242</v>
      </c>
    </row>
    <row r="851">
      <c r="A851" s="6" t="inlineStr">
        <is>
          <t>2025-09</t>
        </is>
      </c>
      <c r="B851" s="6" t="inlineStr">
        <is>
          <t>训练服饰</t>
        </is>
      </c>
      <c r="C851" s="6" t="inlineStr">
        <is>
          <t>华北</t>
        </is>
      </c>
      <c r="D851" s="6" t="inlineStr">
        <is>
          <t>陈静</t>
        </is>
      </c>
      <c r="E851" s="6" t="inlineStr">
        <is>
          <t>环宇体育</t>
        </is>
      </c>
      <c r="F851" s="7" t="n">
        <v>35400</v>
      </c>
      <c r="G851" s="7" t="n">
        <v>20300</v>
      </c>
      <c r="H851" s="7" t="n">
        <v>15100</v>
      </c>
      <c r="I851" s="8" t="n">
        <v>0.4265536723163842</v>
      </c>
    </row>
    <row r="852">
      <c r="A852" s="6" t="inlineStr">
        <is>
          <t>2025-09</t>
        </is>
      </c>
      <c r="B852" s="6" t="inlineStr">
        <is>
          <t>训练服饰</t>
        </is>
      </c>
      <c r="C852" s="6" t="inlineStr">
        <is>
          <t>华南</t>
        </is>
      </c>
      <c r="D852" s="6" t="inlineStr">
        <is>
          <t>张伟</t>
        </is>
      </c>
      <c r="E852" s="6" t="inlineStr">
        <is>
          <t>阳光体能</t>
        </is>
      </c>
      <c r="F852" s="7" t="n">
        <v>47800</v>
      </c>
      <c r="G852" s="7" t="n">
        <v>25700</v>
      </c>
      <c r="H852" s="7" t="n">
        <v>22100</v>
      </c>
      <c r="I852" s="8" t="n">
        <v>0.4623430962343096</v>
      </c>
    </row>
    <row r="853">
      <c r="A853" s="6" t="inlineStr">
        <is>
          <t>2025-09</t>
        </is>
      </c>
      <c r="B853" s="6" t="inlineStr">
        <is>
          <t>训练服饰</t>
        </is>
      </c>
      <c r="C853" s="6" t="inlineStr">
        <is>
          <t>华南</t>
        </is>
      </c>
      <c r="D853" s="6" t="inlineStr">
        <is>
          <t>李娜</t>
        </is>
      </c>
      <c r="E853" s="6" t="inlineStr">
        <is>
          <t>腾飞体育用品</t>
        </is>
      </c>
      <c r="F853" s="7" t="n">
        <v>54100</v>
      </c>
      <c r="G853" s="7" t="n">
        <v>29500</v>
      </c>
      <c r="H853" s="7" t="n">
        <v>24600</v>
      </c>
      <c r="I853" s="8" t="n">
        <v>0.4547134935304991</v>
      </c>
    </row>
    <row r="854">
      <c r="A854" s="6" t="inlineStr">
        <is>
          <t>2025-09</t>
        </is>
      </c>
      <c r="B854" s="6" t="inlineStr">
        <is>
          <t>训练服饰</t>
        </is>
      </c>
      <c r="C854" s="6" t="inlineStr">
        <is>
          <t>华南</t>
        </is>
      </c>
      <c r="D854" s="6" t="inlineStr">
        <is>
          <t>王芳</t>
        </is>
      </c>
      <c r="E854" s="6" t="inlineStr">
        <is>
          <t>迈步体育</t>
        </is>
      </c>
      <c r="F854" s="7" t="n">
        <v>43000</v>
      </c>
      <c r="G854" s="7" t="n">
        <v>23000</v>
      </c>
      <c r="H854" s="7" t="n">
        <v>20000</v>
      </c>
      <c r="I854" s="8" t="n">
        <v>0.4651162790697674</v>
      </c>
    </row>
    <row r="855">
      <c r="A855" s="6" t="inlineStr">
        <is>
          <t>2025-09</t>
        </is>
      </c>
      <c r="B855" s="6" t="inlineStr">
        <is>
          <t>训练服饰</t>
        </is>
      </c>
      <c r="C855" s="6" t="inlineStr">
        <is>
          <t>华南</t>
        </is>
      </c>
      <c r="D855" s="6" t="inlineStr">
        <is>
          <t>刘强</t>
        </is>
      </c>
      <c r="E855" s="6" t="inlineStr">
        <is>
          <t>小小运动家</t>
        </is>
      </c>
      <c r="F855" s="7" t="n">
        <v>38000</v>
      </c>
      <c r="G855" s="7" t="n">
        <v>20400</v>
      </c>
      <c r="H855" s="7" t="n">
        <v>17600</v>
      </c>
      <c r="I855" s="8" t="n">
        <v>0.4631578947368421</v>
      </c>
    </row>
    <row r="856">
      <c r="A856" s="6" t="inlineStr">
        <is>
          <t>2025-09</t>
        </is>
      </c>
      <c r="B856" s="6" t="inlineStr">
        <is>
          <t>训练服饰</t>
        </is>
      </c>
      <c r="C856" s="6" t="inlineStr">
        <is>
          <t>华南</t>
        </is>
      </c>
      <c r="D856" s="6" t="inlineStr">
        <is>
          <t>陈静</t>
        </is>
      </c>
      <c r="E856" s="6" t="inlineStr">
        <is>
          <t>阳光体能</t>
        </is>
      </c>
      <c r="F856" s="7" t="n">
        <v>44800</v>
      </c>
      <c r="G856" s="7" t="n">
        <v>23900</v>
      </c>
      <c r="H856" s="7" t="n">
        <v>20900</v>
      </c>
      <c r="I856" s="8" t="n">
        <v>0.4665178571428572</v>
      </c>
    </row>
    <row r="857">
      <c r="A857" s="6" t="inlineStr">
        <is>
          <t>2025-09</t>
        </is>
      </c>
      <c r="B857" s="6" t="inlineStr">
        <is>
          <t>训练服饰</t>
        </is>
      </c>
      <c r="C857" s="6" t="inlineStr">
        <is>
          <t>西部</t>
        </is>
      </c>
      <c r="D857" s="6" t="inlineStr">
        <is>
          <t>张伟</t>
        </is>
      </c>
      <c r="E857" s="6" t="inlineStr">
        <is>
          <t>极客穿戴</t>
        </is>
      </c>
      <c r="F857" s="7" t="n">
        <v>28400</v>
      </c>
      <c r="G857" s="7" t="n">
        <v>14900</v>
      </c>
      <c r="H857" s="7" t="n">
        <v>13500</v>
      </c>
      <c r="I857" s="8" t="n">
        <v>0.4753521126760563</v>
      </c>
    </row>
    <row r="858">
      <c r="A858" s="6" t="inlineStr">
        <is>
          <t>2025-09</t>
        </is>
      </c>
      <c r="B858" s="6" t="inlineStr">
        <is>
          <t>训练服饰</t>
        </is>
      </c>
      <c r="C858" s="6" t="inlineStr">
        <is>
          <t>西部</t>
        </is>
      </c>
      <c r="D858" s="6" t="inlineStr">
        <is>
          <t>李娜</t>
        </is>
      </c>
      <c r="E858" s="6" t="inlineStr">
        <is>
          <t>劲爆运动用品</t>
        </is>
      </c>
      <c r="F858" s="7" t="n">
        <v>27600</v>
      </c>
      <c r="G858" s="7" t="n">
        <v>14900</v>
      </c>
      <c r="H858" s="7" t="n">
        <v>12700</v>
      </c>
      <c r="I858" s="8" t="n">
        <v>0.4601449275362319</v>
      </c>
    </row>
    <row r="859">
      <c r="A859" s="6" t="inlineStr">
        <is>
          <t>2025-09</t>
        </is>
      </c>
      <c r="B859" s="6" t="inlineStr">
        <is>
          <t>训练服饰</t>
        </is>
      </c>
      <c r="C859" s="6" t="inlineStr">
        <is>
          <t>西部</t>
        </is>
      </c>
      <c r="D859" s="6" t="inlineStr">
        <is>
          <t>王芳</t>
        </is>
      </c>
      <c r="E859" s="6" t="inlineStr">
        <is>
          <t>小小运动家</t>
        </is>
      </c>
      <c r="F859" s="7" t="n">
        <v>29600</v>
      </c>
      <c r="G859" s="7" t="n">
        <v>17100</v>
      </c>
      <c r="H859" s="7" t="n">
        <v>12500</v>
      </c>
      <c r="I859" s="8" t="n">
        <v>0.4222972972972973</v>
      </c>
    </row>
    <row r="860">
      <c r="A860" s="6" t="inlineStr">
        <is>
          <t>2025-09</t>
        </is>
      </c>
      <c r="B860" s="6" t="inlineStr">
        <is>
          <t>训练服饰</t>
        </is>
      </c>
      <c r="C860" s="6" t="inlineStr">
        <is>
          <t>西部</t>
        </is>
      </c>
      <c r="D860" s="6" t="inlineStr">
        <is>
          <t>刘强</t>
        </is>
      </c>
      <c r="E860" s="6" t="inlineStr">
        <is>
          <t>篮途体育文化</t>
        </is>
      </c>
      <c r="F860" s="7" t="n">
        <v>24000</v>
      </c>
      <c r="G860" s="7" t="n">
        <v>12800</v>
      </c>
      <c r="H860" s="7" t="n">
        <v>11200</v>
      </c>
      <c r="I860" s="8" t="n">
        <v>0.4666666666666667</v>
      </c>
    </row>
    <row r="861">
      <c r="A861" s="6" t="inlineStr">
        <is>
          <t>2025-09</t>
        </is>
      </c>
      <c r="B861" s="6" t="inlineStr">
        <is>
          <t>训练服饰</t>
        </is>
      </c>
      <c r="C861" s="6" t="inlineStr">
        <is>
          <t>西部</t>
        </is>
      </c>
      <c r="D861" s="6" t="inlineStr">
        <is>
          <t>陈静</t>
        </is>
      </c>
      <c r="E861" s="6" t="inlineStr">
        <is>
          <t>元气营养</t>
        </is>
      </c>
      <c r="F861" s="7" t="n">
        <v>30600</v>
      </c>
      <c r="G861" s="7" t="n">
        <v>16600</v>
      </c>
      <c r="H861" s="7" t="n">
        <v>14000</v>
      </c>
      <c r="I861" s="8" t="n">
        <v>0.457516339869281</v>
      </c>
    </row>
    <row r="862">
      <c r="A862" s="6" t="inlineStr">
        <is>
          <t>2025-09</t>
        </is>
      </c>
      <c r="B862" s="6" t="inlineStr">
        <is>
          <t>营养补给</t>
        </is>
      </c>
      <c r="C862" s="6" t="inlineStr">
        <is>
          <t>华东</t>
        </is>
      </c>
      <c r="D862" s="6" t="inlineStr">
        <is>
          <t>张伟</t>
        </is>
      </c>
      <c r="E862" s="6" t="inlineStr">
        <is>
          <t>阳光体能</t>
        </is>
      </c>
      <c r="F862" s="7" t="n">
        <v>68000</v>
      </c>
      <c r="G862" s="7" t="n">
        <v>52000</v>
      </c>
      <c r="H862" s="7" t="n">
        <v>16000</v>
      </c>
      <c r="I862" s="8" t="n">
        <v>0.2352941176470588</v>
      </c>
    </row>
    <row r="863">
      <c r="A863" s="6" t="inlineStr">
        <is>
          <t>2025-09</t>
        </is>
      </c>
      <c r="B863" s="6" t="inlineStr">
        <is>
          <t>营养补给</t>
        </is>
      </c>
      <c r="C863" s="6" t="inlineStr">
        <is>
          <t>华东</t>
        </is>
      </c>
      <c r="D863" s="6" t="inlineStr">
        <is>
          <t>李娜</t>
        </is>
      </c>
      <c r="E863" s="6" t="inlineStr">
        <is>
          <t>启航健身中心</t>
        </is>
      </c>
      <c r="F863" s="7" t="n">
        <v>61600</v>
      </c>
      <c r="G863" s="7" t="n">
        <v>46300</v>
      </c>
      <c r="H863" s="7" t="n">
        <v>15300</v>
      </c>
      <c r="I863" s="8" t="n">
        <v>0.2483766233766234</v>
      </c>
    </row>
    <row r="864">
      <c r="A864" s="6" t="inlineStr">
        <is>
          <t>2025-09</t>
        </is>
      </c>
      <c r="B864" s="6" t="inlineStr">
        <is>
          <t>营养补给</t>
        </is>
      </c>
      <c r="C864" s="6" t="inlineStr">
        <is>
          <t>华东</t>
        </is>
      </c>
      <c r="D864" s="6" t="inlineStr">
        <is>
          <t>王芳</t>
        </is>
      </c>
      <c r="E864" s="6" t="inlineStr">
        <is>
          <t>风云篮球馆</t>
        </is>
      </c>
      <c r="F864" s="7" t="n">
        <v>71200</v>
      </c>
      <c r="G864" s="7" t="n">
        <v>51300</v>
      </c>
      <c r="H864" s="7" t="n">
        <v>19900</v>
      </c>
      <c r="I864" s="8" t="n">
        <v>0.2794943820224719</v>
      </c>
    </row>
    <row r="865">
      <c r="A865" s="6" t="inlineStr">
        <is>
          <t>2025-09</t>
        </is>
      </c>
      <c r="B865" s="6" t="inlineStr">
        <is>
          <t>营养补给</t>
        </is>
      </c>
      <c r="C865" s="6" t="inlineStr">
        <is>
          <t>华东</t>
        </is>
      </c>
      <c r="D865" s="6" t="inlineStr">
        <is>
          <t>刘强</t>
        </is>
      </c>
      <c r="E865" s="6" t="inlineStr">
        <is>
          <t>篮途体育文化</t>
        </is>
      </c>
      <c r="F865" s="7" t="n">
        <v>67500</v>
      </c>
      <c r="G865" s="7" t="n">
        <v>52200</v>
      </c>
      <c r="H865" s="7" t="n">
        <v>15300</v>
      </c>
      <c r="I865" s="8" t="n">
        <v>0.2266666666666667</v>
      </c>
    </row>
    <row r="866">
      <c r="A866" s="6" t="inlineStr">
        <is>
          <t>2025-09</t>
        </is>
      </c>
      <c r="B866" s="6" t="inlineStr">
        <is>
          <t>营养补给</t>
        </is>
      </c>
      <c r="C866" s="6" t="inlineStr">
        <is>
          <t>华东</t>
        </is>
      </c>
      <c r="D866" s="6" t="inlineStr">
        <is>
          <t>陈静</t>
        </is>
      </c>
      <c r="E866" s="6" t="inlineStr">
        <is>
          <t>成长树运动馆</t>
        </is>
      </c>
      <c r="F866" s="7" t="n">
        <v>59900</v>
      </c>
      <c r="G866" s="7" t="n">
        <v>45300</v>
      </c>
      <c r="H866" s="7" t="n">
        <v>14600</v>
      </c>
      <c r="I866" s="8" t="n">
        <v>0.2437395659432387</v>
      </c>
    </row>
    <row r="867">
      <c r="A867" s="6" t="inlineStr">
        <is>
          <t>2025-09</t>
        </is>
      </c>
      <c r="B867" s="6" t="inlineStr">
        <is>
          <t>营养补给</t>
        </is>
      </c>
      <c r="C867" s="6" t="inlineStr">
        <is>
          <t>华北</t>
        </is>
      </c>
      <c r="D867" s="6" t="inlineStr">
        <is>
          <t>张伟</t>
        </is>
      </c>
      <c r="E867" s="6" t="inlineStr">
        <is>
          <t>腾飞体育用品</t>
        </is>
      </c>
      <c r="F867" s="7" t="n">
        <v>47700</v>
      </c>
      <c r="G867" s="7" t="n">
        <v>35800</v>
      </c>
      <c r="H867" s="7" t="n">
        <v>11900</v>
      </c>
      <c r="I867" s="8" t="n">
        <v>0.2494758909853249</v>
      </c>
    </row>
    <row r="868">
      <c r="A868" s="6" t="inlineStr">
        <is>
          <t>2025-09</t>
        </is>
      </c>
      <c r="B868" s="6" t="inlineStr">
        <is>
          <t>营养补给</t>
        </is>
      </c>
      <c r="C868" s="6" t="inlineStr">
        <is>
          <t>华北</t>
        </is>
      </c>
      <c r="D868" s="6" t="inlineStr">
        <is>
          <t>李娜</t>
        </is>
      </c>
      <c r="E868" s="6" t="inlineStr">
        <is>
          <t>环宇体育</t>
        </is>
      </c>
      <c r="F868" s="7" t="n">
        <v>55900</v>
      </c>
      <c r="G868" s="7" t="n">
        <v>42400</v>
      </c>
      <c r="H868" s="7" t="n">
        <v>13500</v>
      </c>
      <c r="I868" s="8" t="n">
        <v>0.2415026833631485</v>
      </c>
    </row>
    <row r="869">
      <c r="A869" s="6" t="inlineStr">
        <is>
          <t>2025-09</t>
        </is>
      </c>
      <c r="B869" s="6" t="inlineStr">
        <is>
          <t>营养补给</t>
        </is>
      </c>
      <c r="C869" s="6" t="inlineStr">
        <is>
          <t>华北</t>
        </is>
      </c>
      <c r="D869" s="6" t="inlineStr">
        <is>
          <t>王芳</t>
        </is>
      </c>
      <c r="E869" s="6" t="inlineStr">
        <is>
          <t>卓越体能训练营</t>
        </is>
      </c>
      <c r="F869" s="7" t="n">
        <v>49000</v>
      </c>
      <c r="G869" s="7" t="n">
        <v>38000</v>
      </c>
      <c r="H869" s="7" t="n">
        <v>11000</v>
      </c>
      <c r="I869" s="8" t="n">
        <v>0.2244897959183673</v>
      </c>
    </row>
    <row r="870">
      <c r="A870" s="6" t="inlineStr">
        <is>
          <t>2025-09</t>
        </is>
      </c>
      <c r="B870" s="6" t="inlineStr">
        <is>
          <t>营养补给</t>
        </is>
      </c>
      <c r="C870" s="6" t="inlineStr">
        <is>
          <t>华北</t>
        </is>
      </c>
      <c r="D870" s="6" t="inlineStr">
        <is>
          <t>刘强</t>
        </is>
      </c>
      <c r="E870" s="6" t="inlineStr">
        <is>
          <t>阳光体能</t>
        </is>
      </c>
      <c r="F870" s="7" t="n">
        <v>49300</v>
      </c>
      <c r="G870" s="7" t="n">
        <v>36500</v>
      </c>
      <c r="H870" s="7" t="n">
        <v>12800</v>
      </c>
      <c r="I870" s="8" t="n">
        <v>0.2596348884381339</v>
      </c>
    </row>
    <row r="871">
      <c r="A871" s="6" t="inlineStr">
        <is>
          <t>2025-09</t>
        </is>
      </c>
      <c r="B871" s="6" t="inlineStr">
        <is>
          <t>营养补给</t>
        </is>
      </c>
      <c r="C871" s="6" t="inlineStr">
        <is>
          <t>华北</t>
        </is>
      </c>
      <c r="D871" s="6" t="inlineStr">
        <is>
          <t>陈静</t>
        </is>
      </c>
      <c r="E871" s="6" t="inlineStr">
        <is>
          <t>风云篮球馆</t>
        </is>
      </c>
      <c r="F871" s="7" t="n">
        <v>54300</v>
      </c>
      <c r="G871" s="7" t="n">
        <v>41100</v>
      </c>
      <c r="H871" s="7" t="n">
        <v>13200</v>
      </c>
      <c r="I871" s="8" t="n">
        <v>0.2430939226519337</v>
      </c>
    </row>
    <row r="872">
      <c r="A872" s="6" t="inlineStr">
        <is>
          <t>2025-09</t>
        </is>
      </c>
      <c r="B872" s="6" t="inlineStr">
        <is>
          <t>营养补给</t>
        </is>
      </c>
      <c r="C872" s="6" t="inlineStr">
        <is>
          <t>华南</t>
        </is>
      </c>
      <c r="D872" s="6" t="inlineStr">
        <is>
          <t>张伟</t>
        </is>
      </c>
      <c r="E872" s="6" t="inlineStr">
        <is>
          <t>启航健身中心</t>
        </is>
      </c>
      <c r="F872" s="7" t="n">
        <v>67700</v>
      </c>
      <c r="G872" s="7" t="n">
        <v>49200</v>
      </c>
      <c r="H872" s="7" t="n">
        <v>18500</v>
      </c>
      <c r="I872" s="8" t="n">
        <v>0.2732644017725259</v>
      </c>
    </row>
    <row r="873">
      <c r="A873" s="6" t="inlineStr">
        <is>
          <t>2025-09</t>
        </is>
      </c>
      <c r="B873" s="6" t="inlineStr">
        <is>
          <t>营养补给</t>
        </is>
      </c>
      <c r="C873" s="6" t="inlineStr">
        <is>
          <t>华南</t>
        </is>
      </c>
      <c r="D873" s="6" t="inlineStr">
        <is>
          <t>李娜</t>
        </is>
      </c>
      <c r="E873" s="6" t="inlineStr">
        <is>
          <t>极客穿戴</t>
        </is>
      </c>
      <c r="F873" s="7" t="n">
        <v>62400</v>
      </c>
      <c r="G873" s="7" t="n">
        <v>47500</v>
      </c>
      <c r="H873" s="7" t="n">
        <v>14900</v>
      </c>
      <c r="I873" s="8" t="n">
        <v>0.2387820512820513</v>
      </c>
    </row>
    <row r="874">
      <c r="A874" s="6" t="inlineStr">
        <is>
          <t>2025-09</t>
        </is>
      </c>
      <c r="B874" s="6" t="inlineStr">
        <is>
          <t>营养补给</t>
        </is>
      </c>
      <c r="C874" s="6" t="inlineStr">
        <is>
          <t>华南</t>
        </is>
      </c>
      <c r="D874" s="6" t="inlineStr">
        <is>
          <t>王芳</t>
        </is>
      </c>
      <c r="E874" s="6" t="inlineStr">
        <is>
          <t>启航健身中心</t>
        </is>
      </c>
      <c r="F874" s="7" t="n">
        <v>53600</v>
      </c>
      <c r="G874" s="7" t="n">
        <v>41200</v>
      </c>
      <c r="H874" s="7" t="n">
        <v>12400</v>
      </c>
      <c r="I874" s="8" t="n">
        <v>0.2313432835820896</v>
      </c>
    </row>
    <row r="875">
      <c r="A875" s="6" t="inlineStr">
        <is>
          <t>2025-09</t>
        </is>
      </c>
      <c r="B875" s="6" t="inlineStr">
        <is>
          <t>营养补给</t>
        </is>
      </c>
      <c r="C875" s="6" t="inlineStr">
        <is>
          <t>华南</t>
        </is>
      </c>
      <c r="D875" s="6" t="inlineStr">
        <is>
          <t>刘强</t>
        </is>
      </c>
      <c r="E875" s="6" t="inlineStr">
        <is>
          <t>冠军之路俱乐部</t>
        </is>
      </c>
      <c r="F875" s="7" t="n">
        <v>51400</v>
      </c>
      <c r="G875" s="7" t="n">
        <v>37200</v>
      </c>
      <c r="H875" s="7" t="n">
        <v>14200</v>
      </c>
      <c r="I875" s="8" t="n">
        <v>0.2762645914396887</v>
      </c>
    </row>
    <row r="876">
      <c r="A876" s="6" t="inlineStr">
        <is>
          <t>2025-09</t>
        </is>
      </c>
      <c r="B876" s="6" t="inlineStr">
        <is>
          <t>营养补给</t>
        </is>
      </c>
      <c r="C876" s="6" t="inlineStr">
        <is>
          <t>华南</t>
        </is>
      </c>
      <c r="D876" s="6" t="inlineStr">
        <is>
          <t>陈静</t>
        </is>
      </c>
      <c r="E876" s="6" t="inlineStr">
        <is>
          <t>飞跃训练营</t>
        </is>
      </c>
      <c r="F876" s="7" t="n">
        <v>49100</v>
      </c>
      <c r="G876" s="7" t="n">
        <v>35600</v>
      </c>
      <c r="H876" s="7" t="n">
        <v>13500</v>
      </c>
      <c r="I876" s="8" t="n">
        <v>0.274949083503055</v>
      </c>
    </row>
    <row r="877">
      <c r="A877" s="6" t="inlineStr">
        <is>
          <t>2025-09</t>
        </is>
      </c>
      <c r="B877" s="6" t="inlineStr">
        <is>
          <t>营养补给</t>
        </is>
      </c>
      <c r="C877" s="6" t="inlineStr">
        <is>
          <t>西部</t>
        </is>
      </c>
      <c r="D877" s="6" t="inlineStr">
        <is>
          <t>张伟</t>
        </is>
      </c>
      <c r="E877" s="6" t="inlineStr">
        <is>
          <t>极客穿戴</t>
        </is>
      </c>
      <c r="F877" s="7" t="n">
        <v>35200</v>
      </c>
      <c r="G877" s="7" t="n">
        <v>27100</v>
      </c>
      <c r="H877" s="7" t="n">
        <v>8100</v>
      </c>
      <c r="I877" s="8" t="n">
        <v>0.2301136363636364</v>
      </c>
    </row>
    <row r="878">
      <c r="A878" s="6" t="inlineStr">
        <is>
          <t>2025-09</t>
        </is>
      </c>
      <c r="B878" s="6" t="inlineStr">
        <is>
          <t>营养补给</t>
        </is>
      </c>
      <c r="C878" s="6" t="inlineStr">
        <is>
          <t>西部</t>
        </is>
      </c>
      <c r="D878" s="6" t="inlineStr">
        <is>
          <t>李娜</t>
        </is>
      </c>
      <c r="E878" s="6" t="inlineStr">
        <is>
          <t>启航健身中心</t>
        </is>
      </c>
      <c r="F878" s="7" t="n">
        <v>38600</v>
      </c>
      <c r="G878" s="7" t="n">
        <v>28100</v>
      </c>
      <c r="H878" s="7" t="n">
        <v>10500</v>
      </c>
      <c r="I878" s="8" t="n">
        <v>0.2720207253886011</v>
      </c>
    </row>
    <row r="879">
      <c r="A879" s="6" t="inlineStr">
        <is>
          <t>2025-09</t>
        </is>
      </c>
      <c r="B879" s="6" t="inlineStr">
        <is>
          <t>营养补给</t>
        </is>
      </c>
      <c r="C879" s="6" t="inlineStr">
        <is>
          <t>西部</t>
        </is>
      </c>
      <c r="D879" s="6" t="inlineStr">
        <is>
          <t>王芳</t>
        </is>
      </c>
      <c r="E879" s="6" t="inlineStr">
        <is>
          <t>智练体育</t>
        </is>
      </c>
      <c r="F879" s="7" t="n">
        <v>38300</v>
      </c>
      <c r="G879" s="7" t="n">
        <v>28200</v>
      </c>
      <c r="H879" s="7" t="n">
        <v>10100</v>
      </c>
      <c r="I879" s="8" t="n">
        <v>0.2637075718015666</v>
      </c>
    </row>
    <row r="880">
      <c r="A880" s="6" t="inlineStr">
        <is>
          <t>2025-09</t>
        </is>
      </c>
      <c r="B880" s="6" t="inlineStr">
        <is>
          <t>营养补给</t>
        </is>
      </c>
      <c r="C880" s="6" t="inlineStr">
        <is>
          <t>西部</t>
        </is>
      </c>
      <c r="D880" s="6" t="inlineStr">
        <is>
          <t>刘强</t>
        </is>
      </c>
      <c r="E880" s="6" t="inlineStr">
        <is>
          <t>康威运动商城</t>
        </is>
      </c>
      <c r="F880" s="7" t="n">
        <v>31300</v>
      </c>
      <c r="G880" s="7" t="n">
        <v>22800</v>
      </c>
      <c r="H880" s="7" t="n">
        <v>8500</v>
      </c>
      <c r="I880" s="8" t="n">
        <v>0.2715654952076677</v>
      </c>
    </row>
    <row r="881">
      <c r="A881" s="6" t="inlineStr">
        <is>
          <t>2025-09</t>
        </is>
      </c>
      <c r="B881" s="6" t="inlineStr">
        <is>
          <t>营养补给</t>
        </is>
      </c>
      <c r="C881" s="6" t="inlineStr">
        <is>
          <t>西部</t>
        </is>
      </c>
      <c r="D881" s="6" t="inlineStr">
        <is>
          <t>陈静</t>
        </is>
      </c>
      <c r="E881" s="6" t="inlineStr">
        <is>
          <t>风尚健身</t>
        </is>
      </c>
      <c r="F881" s="7" t="n">
        <v>37500</v>
      </c>
      <c r="G881" s="7" t="n">
        <v>27400</v>
      </c>
      <c r="H881" s="7" t="n">
        <v>10100</v>
      </c>
      <c r="I881" s="8" t="n">
        <v>0.2693333333333333</v>
      </c>
    </row>
    <row r="882">
      <c r="A882" s="6" t="inlineStr">
        <is>
          <t>2025-09</t>
        </is>
      </c>
      <c r="B882" s="6" t="inlineStr">
        <is>
          <t>智能穿戴</t>
        </is>
      </c>
      <c r="C882" s="6" t="inlineStr">
        <is>
          <t>华东</t>
        </is>
      </c>
      <c r="D882" s="6" t="inlineStr">
        <is>
          <t>张伟</t>
        </is>
      </c>
      <c r="E882" s="6" t="inlineStr">
        <is>
          <t>篮途体育文化</t>
        </is>
      </c>
      <c r="F882" s="7" t="n">
        <v>111800</v>
      </c>
      <c r="G882" s="7" t="n">
        <v>72400</v>
      </c>
      <c r="H882" s="7" t="n">
        <v>39400</v>
      </c>
      <c r="I882" s="8" t="n">
        <v>0.3524150268336315</v>
      </c>
    </row>
    <row r="883">
      <c r="A883" s="6" t="inlineStr">
        <is>
          <t>2025-09</t>
        </is>
      </c>
      <c r="B883" s="6" t="inlineStr">
        <is>
          <t>智能穿戴</t>
        </is>
      </c>
      <c r="C883" s="6" t="inlineStr">
        <is>
          <t>华东</t>
        </is>
      </c>
      <c r="D883" s="6" t="inlineStr">
        <is>
          <t>李娜</t>
        </is>
      </c>
      <c r="E883" s="6" t="inlineStr">
        <is>
          <t>元气营养</t>
        </is>
      </c>
      <c r="F883" s="7" t="n">
        <v>94100</v>
      </c>
      <c r="G883" s="7" t="n">
        <v>57900</v>
      </c>
      <c r="H883" s="7" t="n">
        <v>36200</v>
      </c>
      <c r="I883" s="8" t="n">
        <v>0.3846971307120085</v>
      </c>
    </row>
    <row r="884">
      <c r="A884" s="6" t="inlineStr">
        <is>
          <t>2025-09</t>
        </is>
      </c>
      <c r="B884" s="6" t="inlineStr">
        <is>
          <t>智能穿戴</t>
        </is>
      </c>
      <c r="C884" s="6" t="inlineStr">
        <is>
          <t>华东</t>
        </is>
      </c>
      <c r="D884" s="6" t="inlineStr">
        <is>
          <t>王芳</t>
        </is>
      </c>
      <c r="E884" s="6" t="inlineStr">
        <is>
          <t>锐健身工作室</t>
        </is>
      </c>
      <c r="F884" s="7" t="n">
        <v>90200</v>
      </c>
      <c r="G884" s="7" t="n">
        <v>55100</v>
      </c>
      <c r="H884" s="7" t="n">
        <v>35100</v>
      </c>
      <c r="I884" s="8" t="n">
        <v>0.3891352549889135</v>
      </c>
    </row>
    <row r="885">
      <c r="A885" s="6" t="inlineStr">
        <is>
          <t>2025-09</t>
        </is>
      </c>
      <c r="B885" s="6" t="inlineStr">
        <is>
          <t>智能穿戴</t>
        </is>
      </c>
      <c r="C885" s="6" t="inlineStr">
        <is>
          <t>华东</t>
        </is>
      </c>
      <c r="D885" s="6" t="inlineStr">
        <is>
          <t>刘强</t>
        </is>
      </c>
      <c r="E885" s="6" t="inlineStr">
        <is>
          <t>启航健身中心</t>
        </is>
      </c>
      <c r="F885" s="7" t="n">
        <v>95000</v>
      </c>
      <c r="G885" s="7" t="n">
        <v>60500</v>
      </c>
      <c r="H885" s="7" t="n">
        <v>34500</v>
      </c>
      <c r="I885" s="8" t="n">
        <v>0.3631578947368421</v>
      </c>
    </row>
    <row r="886">
      <c r="A886" s="6" t="inlineStr">
        <is>
          <t>2025-09</t>
        </is>
      </c>
      <c r="B886" s="6" t="inlineStr">
        <is>
          <t>智能穿戴</t>
        </is>
      </c>
      <c r="C886" s="6" t="inlineStr">
        <is>
          <t>华东</t>
        </is>
      </c>
      <c r="D886" s="6" t="inlineStr">
        <is>
          <t>陈静</t>
        </is>
      </c>
      <c r="E886" s="6" t="inlineStr">
        <is>
          <t>康威运动商城</t>
        </is>
      </c>
      <c r="F886" s="7" t="n">
        <v>85900</v>
      </c>
      <c r="G886" s="7" t="n">
        <v>53100</v>
      </c>
      <c r="H886" s="7" t="n">
        <v>32800</v>
      </c>
      <c r="I886" s="8" t="n">
        <v>0.3818393480791618</v>
      </c>
    </row>
    <row r="887">
      <c r="A887" s="6" t="inlineStr">
        <is>
          <t>2025-09</t>
        </is>
      </c>
      <c r="B887" s="6" t="inlineStr">
        <is>
          <t>智能穿戴</t>
        </is>
      </c>
      <c r="C887" s="6" t="inlineStr">
        <is>
          <t>华北</t>
        </is>
      </c>
      <c r="D887" s="6" t="inlineStr">
        <is>
          <t>张伟</t>
        </is>
      </c>
      <c r="E887" s="6" t="inlineStr">
        <is>
          <t>锐动体育用品</t>
        </is>
      </c>
      <c r="F887" s="7" t="n">
        <v>64800</v>
      </c>
      <c r="G887" s="7" t="n">
        <v>41300</v>
      </c>
      <c r="H887" s="7" t="n">
        <v>23500</v>
      </c>
      <c r="I887" s="8" t="n">
        <v>0.3626543209876543</v>
      </c>
    </row>
    <row r="888">
      <c r="A888" s="6" t="inlineStr">
        <is>
          <t>2025-09</t>
        </is>
      </c>
      <c r="B888" s="6" t="inlineStr">
        <is>
          <t>智能穿戴</t>
        </is>
      </c>
      <c r="C888" s="6" t="inlineStr">
        <is>
          <t>华北</t>
        </is>
      </c>
      <c r="D888" s="6" t="inlineStr">
        <is>
          <t>李娜</t>
        </is>
      </c>
      <c r="E888" s="6" t="inlineStr">
        <is>
          <t>锋行体育</t>
        </is>
      </c>
      <c r="F888" s="7" t="n">
        <v>65900</v>
      </c>
      <c r="G888" s="7" t="n">
        <v>39700</v>
      </c>
      <c r="H888" s="7" t="n">
        <v>26200</v>
      </c>
      <c r="I888" s="8" t="n">
        <v>0.3975720789074355</v>
      </c>
    </row>
    <row r="889">
      <c r="A889" s="6" t="inlineStr">
        <is>
          <t>2025-09</t>
        </is>
      </c>
      <c r="B889" s="6" t="inlineStr">
        <is>
          <t>智能穿戴</t>
        </is>
      </c>
      <c r="C889" s="6" t="inlineStr">
        <is>
          <t>华北</t>
        </is>
      </c>
      <c r="D889" s="6" t="inlineStr">
        <is>
          <t>王芳</t>
        </is>
      </c>
      <c r="E889" s="6" t="inlineStr">
        <is>
          <t>环宇体育</t>
        </is>
      </c>
      <c r="F889" s="7" t="n">
        <v>90700</v>
      </c>
      <c r="G889" s="7" t="n">
        <v>57900</v>
      </c>
      <c r="H889" s="7" t="n">
        <v>32800</v>
      </c>
      <c r="I889" s="8" t="n">
        <v>0.3616317530319735</v>
      </c>
    </row>
    <row r="890">
      <c r="A890" s="6" t="inlineStr">
        <is>
          <t>2025-09</t>
        </is>
      </c>
      <c r="B890" s="6" t="inlineStr">
        <is>
          <t>智能穿戴</t>
        </is>
      </c>
      <c r="C890" s="6" t="inlineStr">
        <is>
          <t>华北</t>
        </is>
      </c>
      <c r="D890" s="6" t="inlineStr">
        <is>
          <t>刘强</t>
        </is>
      </c>
      <c r="E890" s="6" t="inlineStr">
        <is>
          <t>冠军之路俱乐部</t>
        </is>
      </c>
      <c r="F890" s="7" t="n">
        <v>63500</v>
      </c>
      <c r="G890" s="7" t="n">
        <v>37500</v>
      </c>
      <c r="H890" s="7" t="n">
        <v>26000</v>
      </c>
      <c r="I890" s="8" t="n">
        <v>0.4094488188976378</v>
      </c>
    </row>
    <row r="891">
      <c r="A891" s="6" t="inlineStr">
        <is>
          <t>2025-09</t>
        </is>
      </c>
      <c r="B891" s="6" t="inlineStr">
        <is>
          <t>智能穿戴</t>
        </is>
      </c>
      <c r="C891" s="6" t="inlineStr">
        <is>
          <t>华北</t>
        </is>
      </c>
      <c r="D891" s="6" t="inlineStr">
        <is>
          <t>陈静</t>
        </is>
      </c>
      <c r="E891" s="6" t="inlineStr">
        <is>
          <t>极客穿戴</t>
        </is>
      </c>
      <c r="F891" s="7" t="n">
        <v>66000</v>
      </c>
      <c r="G891" s="7" t="n">
        <v>41500</v>
      </c>
      <c r="H891" s="7" t="n">
        <v>24500</v>
      </c>
      <c r="I891" s="8" t="n">
        <v>0.3712121212121212</v>
      </c>
    </row>
    <row r="892">
      <c r="A892" s="6" t="inlineStr">
        <is>
          <t>2025-09</t>
        </is>
      </c>
      <c r="B892" s="6" t="inlineStr">
        <is>
          <t>智能穿戴</t>
        </is>
      </c>
      <c r="C892" s="6" t="inlineStr">
        <is>
          <t>华南</t>
        </is>
      </c>
      <c r="D892" s="6" t="inlineStr">
        <is>
          <t>张伟</t>
        </is>
      </c>
      <c r="E892" s="6" t="inlineStr">
        <is>
          <t>悍将运动</t>
        </is>
      </c>
      <c r="F892" s="7" t="n">
        <v>89500</v>
      </c>
      <c r="G892" s="7" t="n">
        <v>53100</v>
      </c>
      <c r="H892" s="7" t="n">
        <v>36400</v>
      </c>
      <c r="I892" s="8" t="n">
        <v>0.4067039106145252</v>
      </c>
    </row>
    <row r="893">
      <c r="A893" s="6" t="inlineStr">
        <is>
          <t>2025-09</t>
        </is>
      </c>
      <c r="B893" s="6" t="inlineStr">
        <is>
          <t>智能穿戴</t>
        </is>
      </c>
      <c r="C893" s="6" t="inlineStr">
        <is>
          <t>华南</t>
        </is>
      </c>
      <c r="D893" s="6" t="inlineStr">
        <is>
          <t>李娜</t>
        </is>
      </c>
      <c r="E893" s="6" t="inlineStr">
        <is>
          <t>恒康营养</t>
        </is>
      </c>
      <c r="F893" s="7" t="n">
        <v>95000</v>
      </c>
      <c r="G893" s="7" t="n">
        <v>58600</v>
      </c>
      <c r="H893" s="7" t="n">
        <v>36400</v>
      </c>
      <c r="I893" s="8" t="n">
        <v>0.3831578947368421</v>
      </c>
    </row>
    <row r="894">
      <c r="A894" s="6" t="inlineStr">
        <is>
          <t>2025-09</t>
        </is>
      </c>
      <c r="B894" s="6" t="inlineStr">
        <is>
          <t>智能穿戴</t>
        </is>
      </c>
      <c r="C894" s="6" t="inlineStr">
        <is>
          <t>华南</t>
        </is>
      </c>
      <c r="D894" s="6" t="inlineStr">
        <is>
          <t>王芳</t>
        </is>
      </c>
      <c r="E894" s="6" t="inlineStr">
        <is>
          <t>童行运动馆</t>
        </is>
      </c>
      <c r="F894" s="7" t="n">
        <v>93700</v>
      </c>
      <c r="G894" s="7" t="n">
        <v>55400</v>
      </c>
      <c r="H894" s="7" t="n">
        <v>38300</v>
      </c>
      <c r="I894" s="8" t="n">
        <v>0.4087513340448239</v>
      </c>
    </row>
    <row r="895">
      <c r="A895" s="6" t="inlineStr">
        <is>
          <t>2025-09</t>
        </is>
      </c>
      <c r="B895" s="6" t="inlineStr">
        <is>
          <t>智能穿戴</t>
        </is>
      </c>
      <c r="C895" s="6" t="inlineStr">
        <is>
          <t>华南</t>
        </is>
      </c>
      <c r="D895" s="6" t="inlineStr">
        <is>
          <t>刘强</t>
        </is>
      </c>
      <c r="E895" s="6" t="inlineStr">
        <is>
          <t>领跑体育</t>
        </is>
      </c>
      <c r="F895" s="7" t="n">
        <v>66100</v>
      </c>
      <c r="G895" s="7" t="n">
        <v>41000</v>
      </c>
      <c r="H895" s="7" t="n">
        <v>25100</v>
      </c>
      <c r="I895" s="8" t="n">
        <v>0.3797276853252647</v>
      </c>
    </row>
    <row r="896">
      <c r="A896" s="6" t="inlineStr">
        <is>
          <t>2025-09</t>
        </is>
      </c>
      <c r="B896" s="6" t="inlineStr">
        <is>
          <t>智能穿戴</t>
        </is>
      </c>
      <c r="C896" s="6" t="inlineStr">
        <is>
          <t>华南</t>
        </is>
      </c>
      <c r="D896" s="6" t="inlineStr">
        <is>
          <t>陈静</t>
        </is>
      </c>
      <c r="E896" s="6" t="inlineStr">
        <is>
          <t>智练体育</t>
        </is>
      </c>
      <c r="F896" s="7" t="n">
        <v>81200</v>
      </c>
      <c r="G896" s="7" t="n">
        <v>50600</v>
      </c>
      <c r="H896" s="7" t="n">
        <v>30600</v>
      </c>
      <c r="I896" s="8" t="n">
        <v>0.3768472906403941</v>
      </c>
    </row>
    <row r="897">
      <c r="A897" s="6" t="inlineStr">
        <is>
          <t>2025-09</t>
        </is>
      </c>
      <c r="B897" s="6" t="inlineStr">
        <is>
          <t>智能穿戴</t>
        </is>
      </c>
      <c r="C897" s="6" t="inlineStr">
        <is>
          <t>西部</t>
        </is>
      </c>
      <c r="D897" s="6" t="inlineStr">
        <is>
          <t>张伟</t>
        </is>
      </c>
      <c r="E897" s="6" t="inlineStr">
        <is>
          <t>巅峰运动</t>
        </is>
      </c>
      <c r="F897" s="7" t="n">
        <v>53100</v>
      </c>
      <c r="G897" s="7" t="n">
        <v>33600</v>
      </c>
      <c r="H897" s="7" t="n">
        <v>19500</v>
      </c>
      <c r="I897" s="8" t="n">
        <v>0.3672316384180791</v>
      </c>
    </row>
    <row r="898">
      <c r="A898" s="6" t="inlineStr">
        <is>
          <t>2025-09</t>
        </is>
      </c>
      <c r="B898" s="6" t="inlineStr">
        <is>
          <t>智能穿戴</t>
        </is>
      </c>
      <c r="C898" s="6" t="inlineStr">
        <is>
          <t>西部</t>
        </is>
      </c>
      <c r="D898" s="6" t="inlineStr">
        <is>
          <t>李娜</t>
        </is>
      </c>
      <c r="E898" s="6" t="inlineStr">
        <is>
          <t>卓越体能训练营</t>
        </is>
      </c>
      <c r="F898" s="7" t="n">
        <v>51000</v>
      </c>
      <c r="G898" s="7" t="n">
        <v>30900</v>
      </c>
      <c r="H898" s="7" t="n">
        <v>20100</v>
      </c>
      <c r="I898" s="8" t="n">
        <v>0.3941176470588235</v>
      </c>
    </row>
    <row r="899">
      <c r="A899" s="6" t="inlineStr">
        <is>
          <t>2025-09</t>
        </is>
      </c>
      <c r="B899" s="6" t="inlineStr">
        <is>
          <t>智能穿戴</t>
        </is>
      </c>
      <c r="C899" s="6" t="inlineStr">
        <is>
          <t>西部</t>
        </is>
      </c>
      <c r="D899" s="6" t="inlineStr">
        <is>
          <t>王芳</t>
        </is>
      </c>
      <c r="E899" s="6" t="inlineStr">
        <is>
          <t>迈步体育</t>
        </is>
      </c>
      <c r="F899" s="7" t="n">
        <v>59400</v>
      </c>
      <c r="G899" s="7" t="n">
        <v>35800</v>
      </c>
      <c r="H899" s="7" t="n">
        <v>23600</v>
      </c>
      <c r="I899" s="8" t="n">
        <v>0.3973063973063973</v>
      </c>
    </row>
    <row r="900">
      <c r="A900" s="6" t="inlineStr">
        <is>
          <t>2025-09</t>
        </is>
      </c>
      <c r="B900" s="6" t="inlineStr">
        <is>
          <t>智能穿戴</t>
        </is>
      </c>
      <c r="C900" s="6" t="inlineStr">
        <is>
          <t>西部</t>
        </is>
      </c>
      <c r="D900" s="6" t="inlineStr">
        <is>
          <t>刘强</t>
        </is>
      </c>
      <c r="E900" s="6" t="inlineStr">
        <is>
          <t>跃动少儿运动馆</t>
        </is>
      </c>
      <c r="F900" s="7" t="n">
        <v>53400</v>
      </c>
      <c r="G900" s="7" t="n">
        <v>31700</v>
      </c>
      <c r="H900" s="7" t="n">
        <v>21700</v>
      </c>
      <c r="I900" s="8" t="n">
        <v>0.4063670411985019</v>
      </c>
    </row>
    <row r="901">
      <c r="A901" s="6" t="inlineStr">
        <is>
          <t>2025-09</t>
        </is>
      </c>
      <c r="B901" s="6" t="inlineStr">
        <is>
          <t>智能穿戴</t>
        </is>
      </c>
      <c r="C901" s="6" t="inlineStr">
        <is>
          <t>西部</t>
        </is>
      </c>
      <c r="D901" s="6" t="inlineStr">
        <is>
          <t>陈静</t>
        </is>
      </c>
      <c r="E901" s="6" t="inlineStr">
        <is>
          <t>超能体育</t>
        </is>
      </c>
      <c r="F901" s="7" t="n">
        <v>50600</v>
      </c>
      <c r="G901" s="7" t="n">
        <v>32600</v>
      </c>
      <c r="H901" s="7" t="n">
        <v>18000</v>
      </c>
      <c r="I901" s="8" t="n">
        <v>0.3557312252964427</v>
      </c>
    </row>
    <row r="902">
      <c r="A902" s="6" t="inlineStr">
        <is>
          <t>2025-10</t>
        </is>
      </c>
      <c r="B902" s="6" t="inlineStr">
        <is>
          <t>篮球装备</t>
        </is>
      </c>
      <c r="C902" s="6" t="inlineStr">
        <is>
          <t>华东</t>
        </is>
      </c>
      <c r="D902" s="6" t="inlineStr">
        <is>
          <t>张伟</t>
        </is>
      </c>
      <c r="E902" s="6" t="inlineStr">
        <is>
          <t>飞跃训练营</t>
        </is>
      </c>
      <c r="F902" s="7" t="n">
        <v>109300</v>
      </c>
      <c r="G902" s="7" t="n">
        <v>74300</v>
      </c>
      <c r="H902" s="7" t="n">
        <v>35000</v>
      </c>
      <c r="I902" s="8" t="n">
        <v>0.3202195791399817</v>
      </c>
    </row>
    <row r="903">
      <c r="A903" s="6" t="inlineStr">
        <is>
          <t>2025-10</t>
        </is>
      </c>
      <c r="B903" s="6" t="inlineStr">
        <is>
          <t>篮球装备</t>
        </is>
      </c>
      <c r="C903" s="6" t="inlineStr">
        <is>
          <t>华东</t>
        </is>
      </c>
      <c r="D903" s="6" t="inlineStr">
        <is>
          <t>李娜</t>
        </is>
      </c>
      <c r="E903" s="6" t="inlineStr">
        <is>
          <t>飞跃训练营</t>
        </is>
      </c>
      <c r="F903" s="7" t="n">
        <v>138000</v>
      </c>
      <c r="G903" s="7" t="n">
        <v>90600</v>
      </c>
      <c r="H903" s="7" t="n">
        <v>47400</v>
      </c>
      <c r="I903" s="8" t="n">
        <v>0.3434782608695652</v>
      </c>
    </row>
    <row r="904">
      <c r="A904" s="6" t="inlineStr">
        <is>
          <t>2025-10</t>
        </is>
      </c>
      <c r="B904" s="6" t="inlineStr">
        <is>
          <t>篮球装备</t>
        </is>
      </c>
      <c r="C904" s="6" t="inlineStr">
        <is>
          <t>华东</t>
        </is>
      </c>
      <c r="D904" s="6" t="inlineStr">
        <is>
          <t>王芳</t>
        </is>
      </c>
      <c r="E904" s="6" t="inlineStr">
        <is>
          <t>冠军之路俱乐部</t>
        </is>
      </c>
      <c r="F904" s="7" t="n">
        <v>141200</v>
      </c>
      <c r="G904" s="7" t="n">
        <v>88300</v>
      </c>
      <c r="H904" s="7" t="n">
        <v>52900</v>
      </c>
      <c r="I904" s="8" t="n">
        <v>0.3746458923512748</v>
      </c>
    </row>
    <row r="905">
      <c r="A905" s="6" t="inlineStr">
        <is>
          <t>2025-10</t>
        </is>
      </c>
      <c r="B905" s="6" t="inlineStr">
        <is>
          <t>篮球装备</t>
        </is>
      </c>
      <c r="C905" s="6" t="inlineStr">
        <is>
          <t>华东</t>
        </is>
      </c>
      <c r="D905" s="6" t="inlineStr">
        <is>
          <t>刘强</t>
        </is>
      </c>
      <c r="E905" s="6" t="inlineStr">
        <is>
          <t>环宇体育</t>
        </is>
      </c>
      <c r="F905" s="7" t="n">
        <v>96200</v>
      </c>
      <c r="G905" s="7" t="n">
        <v>60200</v>
      </c>
      <c r="H905" s="7" t="n">
        <v>36000</v>
      </c>
      <c r="I905" s="8" t="n">
        <v>0.3742203742203742</v>
      </c>
    </row>
    <row r="906">
      <c r="A906" s="6" t="inlineStr">
        <is>
          <t>2025-10</t>
        </is>
      </c>
      <c r="B906" s="6" t="inlineStr">
        <is>
          <t>篮球装备</t>
        </is>
      </c>
      <c r="C906" s="6" t="inlineStr">
        <is>
          <t>华东</t>
        </is>
      </c>
      <c r="D906" s="6" t="inlineStr">
        <is>
          <t>陈静</t>
        </is>
      </c>
      <c r="E906" s="6" t="inlineStr">
        <is>
          <t>锋行体育</t>
        </is>
      </c>
      <c r="F906" s="7" t="n">
        <v>117300</v>
      </c>
      <c r="G906" s="7" t="n">
        <v>78600</v>
      </c>
      <c r="H906" s="7" t="n">
        <v>38700</v>
      </c>
      <c r="I906" s="8" t="n">
        <v>0.329923273657289</v>
      </c>
    </row>
    <row r="907">
      <c r="A907" s="6" t="inlineStr">
        <is>
          <t>2025-10</t>
        </is>
      </c>
      <c r="B907" s="6" t="inlineStr">
        <is>
          <t>篮球装备</t>
        </is>
      </c>
      <c r="C907" s="6" t="inlineStr">
        <is>
          <t>华北</t>
        </is>
      </c>
      <c r="D907" s="6" t="inlineStr">
        <is>
          <t>张伟</t>
        </is>
      </c>
      <c r="E907" s="6" t="inlineStr">
        <is>
          <t>小小运动家</t>
        </is>
      </c>
      <c r="F907" s="7" t="n">
        <v>88600</v>
      </c>
      <c r="G907" s="7" t="n">
        <v>57000</v>
      </c>
      <c r="H907" s="7" t="n">
        <v>31600</v>
      </c>
      <c r="I907" s="8" t="n">
        <v>0.3566591422121896</v>
      </c>
    </row>
    <row r="908">
      <c r="A908" s="6" t="inlineStr">
        <is>
          <t>2025-10</t>
        </is>
      </c>
      <c r="B908" s="6" t="inlineStr">
        <is>
          <t>篮球装备</t>
        </is>
      </c>
      <c r="C908" s="6" t="inlineStr">
        <is>
          <t>华北</t>
        </is>
      </c>
      <c r="D908" s="6" t="inlineStr">
        <is>
          <t>李娜</t>
        </is>
      </c>
      <c r="E908" s="6" t="inlineStr">
        <is>
          <t>纵横运动</t>
        </is>
      </c>
      <c r="F908" s="7" t="n">
        <v>100700</v>
      </c>
      <c r="G908" s="7" t="n">
        <v>68400</v>
      </c>
      <c r="H908" s="7" t="n">
        <v>32300</v>
      </c>
      <c r="I908" s="8" t="n">
        <v>0.3207547169811321</v>
      </c>
    </row>
    <row r="909">
      <c r="A909" s="6" t="inlineStr">
        <is>
          <t>2025-10</t>
        </is>
      </c>
      <c r="B909" s="6" t="inlineStr">
        <is>
          <t>篮球装备</t>
        </is>
      </c>
      <c r="C909" s="6" t="inlineStr">
        <is>
          <t>华北</t>
        </is>
      </c>
      <c r="D909" s="6" t="inlineStr">
        <is>
          <t>王芳</t>
        </is>
      </c>
      <c r="E909" s="6" t="inlineStr">
        <is>
          <t>小飞侠运动俱乐部</t>
        </is>
      </c>
      <c r="F909" s="7" t="n">
        <v>92500</v>
      </c>
      <c r="G909" s="7" t="n">
        <v>60800</v>
      </c>
      <c r="H909" s="7" t="n">
        <v>31700</v>
      </c>
      <c r="I909" s="8" t="n">
        <v>0.3427027027027027</v>
      </c>
    </row>
    <row r="910">
      <c r="A910" s="6" t="inlineStr">
        <is>
          <t>2025-10</t>
        </is>
      </c>
      <c r="B910" s="6" t="inlineStr">
        <is>
          <t>篮球装备</t>
        </is>
      </c>
      <c r="C910" s="6" t="inlineStr">
        <is>
          <t>华北</t>
        </is>
      </c>
      <c r="D910" s="6" t="inlineStr">
        <is>
          <t>刘强</t>
        </is>
      </c>
      <c r="E910" s="6" t="inlineStr">
        <is>
          <t>锐健身工作室</t>
        </is>
      </c>
      <c r="F910" s="7" t="n">
        <v>97100</v>
      </c>
      <c r="G910" s="7" t="n">
        <v>60900</v>
      </c>
      <c r="H910" s="7" t="n">
        <v>36200</v>
      </c>
      <c r="I910" s="8" t="n">
        <v>0.3728115345005149</v>
      </c>
    </row>
    <row r="911">
      <c r="A911" s="6" t="inlineStr">
        <is>
          <t>2025-10</t>
        </is>
      </c>
      <c r="B911" s="6" t="inlineStr">
        <is>
          <t>篮球装备</t>
        </is>
      </c>
      <c r="C911" s="6" t="inlineStr">
        <is>
          <t>华北</t>
        </is>
      </c>
      <c r="D911" s="6" t="inlineStr">
        <is>
          <t>陈静</t>
        </is>
      </c>
      <c r="E911" s="6" t="inlineStr">
        <is>
          <t>健将体育</t>
        </is>
      </c>
      <c r="F911" s="7" t="n">
        <v>86800</v>
      </c>
      <c r="G911" s="7" t="n">
        <v>56400</v>
      </c>
      <c r="H911" s="7" t="n">
        <v>30400</v>
      </c>
      <c r="I911" s="8" t="n">
        <v>0.3502304147465438</v>
      </c>
    </row>
    <row r="912">
      <c r="A912" s="6" t="inlineStr">
        <is>
          <t>2025-10</t>
        </is>
      </c>
      <c r="B912" s="6" t="inlineStr">
        <is>
          <t>篮球装备</t>
        </is>
      </c>
      <c r="C912" s="6" t="inlineStr">
        <is>
          <t>华南</t>
        </is>
      </c>
      <c r="D912" s="6" t="inlineStr">
        <is>
          <t>张伟</t>
        </is>
      </c>
      <c r="E912" s="6" t="inlineStr">
        <is>
          <t>健将体育</t>
        </is>
      </c>
      <c r="F912" s="7" t="n">
        <v>111800</v>
      </c>
      <c r="G912" s="7" t="n">
        <v>69600</v>
      </c>
      <c r="H912" s="7" t="n">
        <v>42200</v>
      </c>
      <c r="I912" s="8" t="n">
        <v>0.3774597495527728</v>
      </c>
    </row>
    <row r="913">
      <c r="A913" s="6" t="inlineStr">
        <is>
          <t>2025-10</t>
        </is>
      </c>
      <c r="B913" s="6" t="inlineStr">
        <is>
          <t>篮球装备</t>
        </is>
      </c>
      <c r="C913" s="6" t="inlineStr">
        <is>
          <t>华南</t>
        </is>
      </c>
      <c r="D913" s="6" t="inlineStr">
        <is>
          <t>李娜</t>
        </is>
      </c>
      <c r="E913" s="6" t="inlineStr">
        <is>
          <t>动能营养</t>
        </is>
      </c>
      <c r="F913" s="7" t="n">
        <v>88500</v>
      </c>
      <c r="G913" s="7" t="n">
        <v>56800</v>
      </c>
      <c r="H913" s="7" t="n">
        <v>31700</v>
      </c>
      <c r="I913" s="8" t="n">
        <v>0.3581920903954802</v>
      </c>
    </row>
    <row r="914">
      <c r="A914" s="6" t="inlineStr">
        <is>
          <t>2025-10</t>
        </is>
      </c>
      <c r="B914" s="6" t="inlineStr">
        <is>
          <t>篮球装备</t>
        </is>
      </c>
      <c r="C914" s="6" t="inlineStr">
        <is>
          <t>华南</t>
        </is>
      </c>
      <c r="D914" s="6" t="inlineStr">
        <is>
          <t>王芳</t>
        </is>
      </c>
      <c r="E914" s="6" t="inlineStr">
        <is>
          <t>优加体能中心</t>
        </is>
      </c>
      <c r="F914" s="7" t="n">
        <v>94700</v>
      </c>
      <c r="G914" s="7" t="n">
        <v>60800</v>
      </c>
      <c r="H914" s="7" t="n">
        <v>33900</v>
      </c>
      <c r="I914" s="8" t="n">
        <v>0.3579725448785639</v>
      </c>
    </row>
    <row r="915">
      <c r="A915" s="6" t="inlineStr">
        <is>
          <t>2025-10</t>
        </is>
      </c>
      <c r="B915" s="6" t="inlineStr">
        <is>
          <t>篮球装备</t>
        </is>
      </c>
      <c r="C915" s="6" t="inlineStr">
        <is>
          <t>华南</t>
        </is>
      </c>
      <c r="D915" s="6" t="inlineStr">
        <is>
          <t>刘强</t>
        </is>
      </c>
      <c r="E915" s="6" t="inlineStr">
        <is>
          <t>康威运动商城</t>
        </is>
      </c>
      <c r="F915" s="7" t="n">
        <v>101700</v>
      </c>
      <c r="G915" s="7" t="n">
        <v>68500</v>
      </c>
      <c r="H915" s="7" t="n">
        <v>33200</v>
      </c>
      <c r="I915" s="8" t="n">
        <v>0.3264503441494592</v>
      </c>
    </row>
    <row r="916">
      <c r="A916" s="6" t="inlineStr">
        <is>
          <t>2025-10</t>
        </is>
      </c>
      <c r="B916" s="6" t="inlineStr">
        <is>
          <t>篮球装备</t>
        </is>
      </c>
      <c r="C916" s="6" t="inlineStr">
        <is>
          <t>华南</t>
        </is>
      </c>
      <c r="D916" s="6" t="inlineStr">
        <is>
          <t>陈静</t>
        </is>
      </c>
      <c r="E916" s="6" t="inlineStr">
        <is>
          <t>纵横运动</t>
        </is>
      </c>
      <c r="F916" s="7" t="n">
        <v>104600</v>
      </c>
      <c r="G916" s="7" t="n">
        <v>69300</v>
      </c>
      <c r="H916" s="7" t="n">
        <v>35300</v>
      </c>
      <c r="I916" s="8" t="n">
        <v>0.3374760994263862</v>
      </c>
    </row>
    <row r="917">
      <c r="A917" s="6" t="inlineStr">
        <is>
          <t>2025-10</t>
        </is>
      </c>
      <c r="B917" s="6" t="inlineStr">
        <is>
          <t>篮球装备</t>
        </is>
      </c>
      <c r="C917" s="6" t="inlineStr">
        <is>
          <t>西部</t>
        </is>
      </c>
      <c r="D917" s="6" t="inlineStr">
        <is>
          <t>张伟</t>
        </is>
      </c>
      <c r="E917" s="6" t="inlineStr">
        <is>
          <t>元气营养</t>
        </is>
      </c>
      <c r="F917" s="7" t="n">
        <v>62000</v>
      </c>
      <c r="G917" s="7" t="n">
        <v>39200</v>
      </c>
      <c r="H917" s="7" t="n">
        <v>22800</v>
      </c>
      <c r="I917" s="8" t="n">
        <v>0.367741935483871</v>
      </c>
    </row>
    <row r="918">
      <c r="A918" s="6" t="inlineStr">
        <is>
          <t>2025-10</t>
        </is>
      </c>
      <c r="B918" s="6" t="inlineStr">
        <is>
          <t>篮球装备</t>
        </is>
      </c>
      <c r="C918" s="6" t="inlineStr">
        <is>
          <t>西部</t>
        </is>
      </c>
      <c r="D918" s="6" t="inlineStr">
        <is>
          <t>李娜</t>
        </is>
      </c>
      <c r="E918" s="6" t="inlineStr">
        <is>
          <t>小飞侠运动俱乐部</t>
        </is>
      </c>
      <c r="F918" s="7" t="n">
        <v>58300</v>
      </c>
      <c r="G918" s="7" t="n">
        <v>37500</v>
      </c>
      <c r="H918" s="7" t="n">
        <v>20800</v>
      </c>
      <c r="I918" s="8" t="n">
        <v>0.3567753001715266</v>
      </c>
    </row>
    <row r="919">
      <c r="A919" s="6" t="inlineStr">
        <is>
          <t>2025-10</t>
        </is>
      </c>
      <c r="B919" s="6" t="inlineStr">
        <is>
          <t>篮球装备</t>
        </is>
      </c>
      <c r="C919" s="6" t="inlineStr">
        <is>
          <t>西部</t>
        </is>
      </c>
      <c r="D919" s="6" t="inlineStr">
        <is>
          <t>王芳</t>
        </is>
      </c>
      <c r="E919" s="6" t="inlineStr">
        <is>
          <t>健将体育</t>
        </is>
      </c>
      <c r="F919" s="7" t="n">
        <v>58100</v>
      </c>
      <c r="G919" s="7" t="n">
        <v>39200</v>
      </c>
      <c r="H919" s="7" t="n">
        <v>18900</v>
      </c>
      <c r="I919" s="8" t="n">
        <v>0.3253012048192771</v>
      </c>
    </row>
    <row r="920">
      <c r="A920" s="6" t="inlineStr">
        <is>
          <t>2025-10</t>
        </is>
      </c>
      <c r="B920" s="6" t="inlineStr">
        <is>
          <t>篮球装备</t>
        </is>
      </c>
      <c r="C920" s="6" t="inlineStr">
        <is>
          <t>西部</t>
        </is>
      </c>
      <c r="D920" s="6" t="inlineStr">
        <is>
          <t>刘强</t>
        </is>
      </c>
      <c r="E920" s="6" t="inlineStr">
        <is>
          <t>跃动少儿运动馆</t>
        </is>
      </c>
      <c r="F920" s="7" t="n">
        <v>64200</v>
      </c>
      <c r="G920" s="7" t="n">
        <v>41000</v>
      </c>
      <c r="H920" s="7" t="n">
        <v>23200</v>
      </c>
      <c r="I920" s="8" t="n">
        <v>0.3613707165109034</v>
      </c>
    </row>
    <row r="921">
      <c r="A921" s="6" t="inlineStr">
        <is>
          <t>2025-10</t>
        </is>
      </c>
      <c r="B921" s="6" t="inlineStr">
        <is>
          <t>篮球装备</t>
        </is>
      </c>
      <c r="C921" s="6" t="inlineStr">
        <is>
          <t>西部</t>
        </is>
      </c>
      <c r="D921" s="6" t="inlineStr">
        <is>
          <t>陈静</t>
        </is>
      </c>
      <c r="E921" s="6" t="inlineStr">
        <is>
          <t>风尚健身</t>
        </is>
      </c>
      <c r="F921" s="7" t="n">
        <v>68600</v>
      </c>
      <c r="G921" s="7" t="n">
        <v>46300</v>
      </c>
      <c r="H921" s="7" t="n">
        <v>22300</v>
      </c>
      <c r="I921" s="8" t="n">
        <v>0.3250728862973761</v>
      </c>
    </row>
    <row r="922">
      <c r="A922" s="6" t="inlineStr">
        <is>
          <t>2025-10</t>
        </is>
      </c>
      <c r="B922" s="6" t="inlineStr">
        <is>
          <t>体适能器材</t>
        </is>
      </c>
      <c r="C922" s="6" t="inlineStr">
        <is>
          <t>华东</t>
        </is>
      </c>
      <c r="D922" s="6" t="inlineStr">
        <is>
          <t>张伟</t>
        </is>
      </c>
      <c r="E922" s="6" t="inlineStr">
        <is>
          <t>小飞侠运动俱乐部</t>
        </is>
      </c>
      <c r="F922" s="7" t="n">
        <v>81400</v>
      </c>
      <c r="G922" s="7" t="n">
        <v>58400</v>
      </c>
      <c r="H922" s="7" t="n">
        <v>23000</v>
      </c>
      <c r="I922" s="8" t="n">
        <v>0.2825552825552826</v>
      </c>
    </row>
    <row r="923">
      <c r="A923" s="6" t="inlineStr">
        <is>
          <t>2025-10</t>
        </is>
      </c>
      <c r="B923" s="6" t="inlineStr">
        <is>
          <t>体适能器材</t>
        </is>
      </c>
      <c r="C923" s="6" t="inlineStr">
        <is>
          <t>华东</t>
        </is>
      </c>
      <c r="D923" s="6" t="inlineStr">
        <is>
          <t>李娜</t>
        </is>
      </c>
      <c r="E923" s="6" t="inlineStr">
        <is>
          <t>悍将运动</t>
        </is>
      </c>
      <c r="F923" s="7" t="n">
        <v>103100</v>
      </c>
      <c r="G923" s="7" t="n">
        <v>74000</v>
      </c>
      <c r="H923" s="7" t="n">
        <v>29100</v>
      </c>
      <c r="I923" s="8" t="n">
        <v>0.2822502424830262</v>
      </c>
    </row>
    <row r="924">
      <c r="A924" s="6" t="inlineStr">
        <is>
          <t>2025-10</t>
        </is>
      </c>
      <c r="B924" s="6" t="inlineStr">
        <is>
          <t>体适能器材</t>
        </is>
      </c>
      <c r="C924" s="6" t="inlineStr">
        <is>
          <t>华东</t>
        </is>
      </c>
      <c r="D924" s="6" t="inlineStr">
        <is>
          <t>王芳</t>
        </is>
      </c>
      <c r="E924" s="6" t="inlineStr">
        <is>
          <t>极客穿戴</t>
        </is>
      </c>
      <c r="F924" s="7" t="n">
        <v>103900</v>
      </c>
      <c r="G924" s="7" t="n">
        <v>73900</v>
      </c>
      <c r="H924" s="7" t="n">
        <v>30000</v>
      </c>
      <c r="I924" s="8" t="n">
        <v>0.2887391722810395</v>
      </c>
    </row>
    <row r="925">
      <c r="A925" s="6" t="inlineStr">
        <is>
          <t>2025-10</t>
        </is>
      </c>
      <c r="B925" s="6" t="inlineStr">
        <is>
          <t>体适能器材</t>
        </is>
      </c>
      <c r="C925" s="6" t="inlineStr">
        <is>
          <t>华东</t>
        </is>
      </c>
      <c r="D925" s="6" t="inlineStr">
        <is>
          <t>刘强</t>
        </is>
      </c>
      <c r="E925" s="6" t="inlineStr">
        <is>
          <t>小飞侠运动俱乐部</t>
        </is>
      </c>
      <c r="F925" s="7" t="n">
        <v>73000</v>
      </c>
      <c r="G925" s="7" t="n">
        <v>49300</v>
      </c>
      <c r="H925" s="7" t="n">
        <v>23700</v>
      </c>
      <c r="I925" s="8" t="n">
        <v>0.3246575342465753</v>
      </c>
    </row>
    <row r="926">
      <c r="A926" s="6" t="inlineStr">
        <is>
          <t>2025-10</t>
        </is>
      </c>
      <c r="B926" s="6" t="inlineStr">
        <is>
          <t>体适能器材</t>
        </is>
      </c>
      <c r="C926" s="6" t="inlineStr">
        <is>
          <t>华东</t>
        </is>
      </c>
      <c r="D926" s="6" t="inlineStr">
        <is>
          <t>陈静</t>
        </is>
      </c>
      <c r="E926" s="6" t="inlineStr">
        <is>
          <t>启航健身中心</t>
        </is>
      </c>
      <c r="F926" s="7" t="n">
        <v>88100</v>
      </c>
      <c r="G926" s="7" t="n">
        <v>63800</v>
      </c>
      <c r="H926" s="7" t="n">
        <v>24300</v>
      </c>
      <c r="I926" s="8" t="n">
        <v>0.2758229284903519</v>
      </c>
    </row>
    <row r="927">
      <c r="A927" s="6" t="inlineStr">
        <is>
          <t>2025-10</t>
        </is>
      </c>
      <c r="B927" s="6" t="inlineStr">
        <is>
          <t>体适能器材</t>
        </is>
      </c>
      <c r="C927" s="6" t="inlineStr">
        <is>
          <t>华北</t>
        </is>
      </c>
      <c r="D927" s="6" t="inlineStr">
        <is>
          <t>张伟</t>
        </is>
      </c>
      <c r="E927" s="6" t="inlineStr">
        <is>
          <t>巅峰运动</t>
        </is>
      </c>
      <c r="F927" s="7" t="n">
        <v>74800</v>
      </c>
      <c r="G927" s="7" t="n">
        <v>54400</v>
      </c>
      <c r="H927" s="7" t="n">
        <v>20400</v>
      </c>
      <c r="I927" s="8" t="n">
        <v>0.2727272727272727</v>
      </c>
    </row>
    <row r="928">
      <c r="A928" s="6" t="inlineStr">
        <is>
          <t>2025-10</t>
        </is>
      </c>
      <c r="B928" s="6" t="inlineStr">
        <is>
          <t>体适能器材</t>
        </is>
      </c>
      <c r="C928" s="6" t="inlineStr">
        <is>
          <t>华北</t>
        </is>
      </c>
      <c r="D928" s="6" t="inlineStr">
        <is>
          <t>李娜</t>
        </is>
      </c>
      <c r="E928" s="6" t="inlineStr">
        <is>
          <t>巅峰运动</t>
        </is>
      </c>
      <c r="F928" s="7" t="n">
        <v>75500</v>
      </c>
      <c r="G928" s="7" t="n">
        <v>52200</v>
      </c>
      <c r="H928" s="7" t="n">
        <v>23300</v>
      </c>
      <c r="I928" s="8" t="n">
        <v>0.3086092715231788</v>
      </c>
    </row>
    <row r="929">
      <c r="A929" s="6" t="inlineStr">
        <is>
          <t>2025-10</t>
        </is>
      </c>
      <c r="B929" s="6" t="inlineStr">
        <is>
          <t>体适能器材</t>
        </is>
      </c>
      <c r="C929" s="6" t="inlineStr">
        <is>
          <t>华北</t>
        </is>
      </c>
      <c r="D929" s="6" t="inlineStr">
        <is>
          <t>王芳</t>
        </is>
      </c>
      <c r="E929" s="6" t="inlineStr">
        <is>
          <t>成长树运动馆</t>
        </is>
      </c>
      <c r="F929" s="7" t="n">
        <v>66600</v>
      </c>
      <c r="G929" s="7" t="n">
        <v>46400</v>
      </c>
      <c r="H929" s="7" t="n">
        <v>20200</v>
      </c>
      <c r="I929" s="8" t="n">
        <v>0.3033033033033033</v>
      </c>
    </row>
    <row r="930">
      <c r="A930" s="6" t="inlineStr">
        <is>
          <t>2025-10</t>
        </is>
      </c>
      <c r="B930" s="6" t="inlineStr">
        <is>
          <t>体适能器材</t>
        </is>
      </c>
      <c r="C930" s="6" t="inlineStr">
        <is>
          <t>华北</t>
        </is>
      </c>
      <c r="D930" s="6" t="inlineStr">
        <is>
          <t>刘强</t>
        </is>
      </c>
      <c r="E930" s="6" t="inlineStr">
        <is>
          <t>乐动体育</t>
        </is>
      </c>
      <c r="F930" s="7" t="n">
        <v>66500</v>
      </c>
      <c r="G930" s="7" t="n">
        <v>46000</v>
      </c>
      <c r="H930" s="7" t="n">
        <v>20500</v>
      </c>
      <c r="I930" s="8" t="n">
        <v>0.3082706766917293</v>
      </c>
    </row>
    <row r="931">
      <c r="A931" s="6" t="inlineStr">
        <is>
          <t>2025-10</t>
        </is>
      </c>
      <c r="B931" s="6" t="inlineStr">
        <is>
          <t>体适能器材</t>
        </is>
      </c>
      <c r="C931" s="6" t="inlineStr">
        <is>
          <t>华北</t>
        </is>
      </c>
      <c r="D931" s="6" t="inlineStr">
        <is>
          <t>陈静</t>
        </is>
      </c>
      <c r="E931" s="6" t="inlineStr">
        <is>
          <t>风尚健身</t>
        </is>
      </c>
      <c r="F931" s="7" t="n">
        <v>63800</v>
      </c>
      <c r="G931" s="7" t="n">
        <v>46300</v>
      </c>
      <c r="H931" s="7" t="n">
        <v>17500</v>
      </c>
      <c r="I931" s="8" t="n">
        <v>0.274294670846395</v>
      </c>
    </row>
    <row r="932">
      <c r="A932" s="6" t="inlineStr">
        <is>
          <t>2025-10</t>
        </is>
      </c>
      <c r="B932" s="6" t="inlineStr">
        <is>
          <t>体适能器材</t>
        </is>
      </c>
      <c r="C932" s="6" t="inlineStr">
        <is>
          <t>华南</t>
        </is>
      </c>
      <c r="D932" s="6" t="inlineStr">
        <is>
          <t>张伟</t>
        </is>
      </c>
      <c r="E932" s="6" t="inlineStr">
        <is>
          <t>飞跃训练营</t>
        </is>
      </c>
      <c r="F932" s="7" t="n">
        <v>71800</v>
      </c>
      <c r="G932" s="7" t="n">
        <v>50700</v>
      </c>
      <c r="H932" s="7" t="n">
        <v>21100</v>
      </c>
      <c r="I932" s="8" t="n">
        <v>0.2938718662952646</v>
      </c>
    </row>
    <row r="933">
      <c r="A933" s="6" t="inlineStr">
        <is>
          <t>2025-10</t>
        </is>
      </c>
      <c r="B933" s="6" t="inlineStr">
        <is>
          <t>体适能器材</t>
        </is>
      </c>
      <c r="C933" s="6" t="inlineStr">
        <is>
          <t>华南</t>
        </is>
      </c>
      <c r="D933" s="6" t="inlineStr">
        <is>
          <t>李娜</t>
        </is>
      </c>
      <c r="E933" s="6" t="inlineStr">
        <is>
          <t>极客穿戴</t>
        </is>
      </c>
      <c r="F933" s="7" t="n">
        <v>86100</v>
      </c>
      <c r="G933" s="7" t="n">
        <v>62100</v>
      </c>
      <c r="H933" s="7" t="n">
        <v>24000</v>
      </c>
      <c r="I933" s="8" t="n">
        <v>0.2787456445993031</v>
      </c>
    </row>
    <row r="934">
      <c r="A934" s="6" t="inlineStr">
        <is>
          <t>2025-10</t>
        </is>
      </c>
      <c r="B934" s="6" t="inlineStr">
        <is>
          <t>体适能器材</t>
        </is>
      </c>
      <c r="C934" s="6" t="inlineStr">
        <is>
          <t>华南</t>
        </is>
      </c>
      <c r="D934" s="6" t="inlineStr">
        <is>
          <t>王芳</t>
        </is>
      </c>
      <c r="E934" s="6" t="inlineStr">
        <is>
          <t>智练体育</t>
        </is>
      </c>
      <c r="F934" s="7" t="n">
        <v>91100</v>
      </c>
      <c r="G934" s="7" t="n">
        <v>61200</v>
      </c>
      <c r="H934" s="7" t="n">
        <v>29900</v>
      </c>
      <c r="I934" s="8" t="n">
        <v>0.3282107574094402</v>
      </c>
    </row>
    <row r="935">
      <c r="A935" s="6" t="inlineStr">
        <is>
          <t>2025-10</t>
        </is>
      </c>
      <c r="B935" s="6" t="inlineStr">
        <is>
          <t>体适能器材</t>
        </is>
      </c>
      <c r="C935" s="6" t="inlineStr">
        <is>
          <t>华南</t>
        </is>
      </c>
      <c r="D935" s="6" t="inlineStr">
        <is>
          <t>刘强</t>
        </is>
      </c>
      <c r="E935" s="6" t="inlineStr">
        <is>
          <t>迈步体育</t>
        </is>
      </c>
      <c r="F935" s="7" t="n">
        <v>71700</v>
      </c>
      <c r="G935" s="7" t="n">
        <v>50200</v>
      </c>
      <c r="H935" s="7" t="n">
        <v>21500</v>
      </c>
      <c r="I935" s="8" t="n">
        <v>0.299860529986053</v>
      </c>
    </row>
    <row r="936">
      <c r="A936" s="6" t="inlineStr">
        <is>
          <t>2025-10</t>
        </is>
      </c>
      <c r="B936" s="6" t="inlineStr">
        <is>
          <t>体适能器材</t>
        </is>
      </c>
      <c r="C936" s="6" t="inlineStr">
        <is>
          <t>华南</t>
        </is>
      </c>
      <c r="D936" s="6" t="inlineStr">
        <is>
          <t>陈静</t>
        </is>
      </c>
      <c r="E936" s="6" t="inlineStr">
        <is>
          <t>启航健身中心</t>
        </is>
      </c>
      <c r="F936" s="7" t="n">
        <v>76800</v>
      </c>
      <c r="G936" s="7" t="n">
        <v>53500</v>
      </c>
      <c r="H936" s="7" t="n">
        <v>23300</v>
      </c>
      <c r="I936" s="8" t="n">
        <v>0.3033854166666667</v>
      </c>
    </row>
    <row r="937">
      <c r="A937" s="6" t="inlineStr">
        <is>
          <t>2025-10</t>
        </is>
      </c>
      <c r="B937" s="6" t="inlineStr">
        <is>
          <t>体适能器材</t>
        </is>
      </c>
      <c r="C937" s="6" t="inlineStr">
        <is>
          <t>西部</t>
        </is>
      </c>
      <c r="D937" s="6" t="inlineStr">
        <is>
          <t>张伟</t>
        </is>
      </c>
      <c r="E937" s="6" t="inlineStr">
        <is>
          <t>纵横运动</t>
        </is>
      </c>
      <c r="F937" s="7" t="n">
        <v>51100</v>
      </c>
      <c r="G937" s="7" t="n">
        <v>35700</v>
      </c>
      <c r="H937" s="7" t="n">
        <v>15400</v>
      </c>
      <c r="I937" s="8" t="n">
        <v>0.3013698630136986</v>
      </c>
    </row>
    <row r="938">
      <c r="A938" s="6" t="inlineStr">
        <is>
          <t>2025-10</t>
        </is>
      </c>
      <c r="B938" s="6" t="inlineStr">
        <is>
          <t>体适能器材</t>
        </is>
      </c>
      <c r="C938" s="6" t="inlineStr">
        <is>
          <t>西部</t>
        </is>
      </c>
      <c r="D938" s="6" t="inlineStr">
        <is>
          <t>李娜</t>
        </is>
      </c>
      <c r="E938" s="6" t="inlineStr">
        <is>
          <t>元气营养</t>
        </is>
      </c>
      <c r="F938" s="7" t="n">
        <v>45900</v>
      </c>
      <c r="G938" s="7" t="n">
        <v>33000</v>
      </c>
      <c r="H938" s="7" t="n">
        <v>12900</v>
      </c>
      <c r="I938" s="8" t="n">
        <v>0.2810457516339869</v>
      </c>
    </row>
    <row r="939">
      <c r="A939" s="6" t="inlineStr">
        <is>
          <t>2025-10</t>
        </is>
      </c>
      <c r="B939" s="6" t="inlineStr">
        <is>
          <t>体适能器材</t>
        </is>
      </c>
      <c r="C939" s="6" t="inlineStr">
        <is>
          <t>西部</t>
        </is>
      </c>
      <c r="D939" s="6" t="inlineStr">
        <is>
          <t>王芳</t>
        </is>
      </c>
      <c r="E939" s="6" t="inlineStr">
        <is>
          <t>环宇体育</t>
        </is>
      </c>
      <c r="F939" s="7" t="n">
        <v>47000</v>
      </c>
      <c r="G939" s="7" t="n">
        <v>34200</v>
      </c>
      <c r="H939" s="7" t="n">
        <v>12800</v>
      </c>
      <c r="I939" s="8" t="n">
        <v>0.2723404255319149</v>
      </c>
    </row>
    <row r="940">
      <c r="A940" s="6" t="inlineStr">
        <is>
          <t>2025-10</t>
        </is>
      </c>
      <c r="B940" s="6" t="inlineStr">
        <is>
          <t>体适能器材</t>
        </is>
      </c>
      <c r="C940" s="6" t="inlineStr">
        <is>
          <t>西部</t>
        </is>
      </c>
      <c r="D940" s="6" t="inlineStr">
        <is>
          <t>刘强</t>
        </is>
      </c>
      <c r="E940" s="6" t="inlineStr">
        <is>
          <t>智练体育</t>
        </is>
      </c>
      <c r="F940" s="7" t="n">
        <v>46700</v>
      </c>
      <c r="G940" s="7" t="n">
        <v>31300</v>
      </c>
      <c r="H940" s="7" t="n">
        <v>15400</v>
      </c>
      <c r="I940" s="8" t="n">
        <v>0.3297644539614561</v>
      </c>
    </row>
    <row r="941">
      <c r="A941" s="6" t="inlineStr">
        <is>
          <t>2025-10</t>
        </is>
      </c>
      <c r="B941" s="6" t="inlineStr">
        <is>
          <t>体适能器材</t>
        </is>
      </c>
      <c r="C941" s="6" t="inlineStr">
        <is>
          <t>西部</t>
        </is>
      </c>
      <c r="D941" s="6" t="inlineStr">
        <is>
          <t>陈静</t>
        </is>
      </c>
      <c r="E941" s="6" t="inlineStr">
        <is>
          <t>篮途体育文化</t>
        </is>
      </c>
      <c r="F941" s="7" t="n">
        <v>42200</v>
      </c>
      <c r="G941" s="7" t="n">
        <v>30500</v>
      </c>
      <c r="H941" s="7" t="n">
        <v>11700</v>
      </c>
      <c r="I941" s="8" t="n">
        <v>0.2772511848341232</v>
      </c>
    </row>
    <row r="942">
      <c r="A942" s="6" t="inlineStr">
        <is>
          <t>2025-10</t>
        </is>
      </c>
      <c r="B942" s="6" t="inlineStr">
        <is>
          <t>训练服饰</t>
        </is>
      </c>
      <c r="C942" s="6" t="inlineStr">
        <is>
          <t>华东</t>
        </is>
      </c>
      <c r="D942" s="6" t="inlineStr">
        <is>
          <t>张伟</t>
        </is>
      </c>
      <c r="E942" s="6" t="inlineStr">
        <is>
          <t>雷霆篮球</t>
        </is>
      </c>
      <c r="F942" s="7" t="n">
        <v>53100</v>
      </c>
      <c r="G942" s="7" t="n">
        <v>29100</v>
      </c>
      <c r="H942" s="7" t="n">
        <v>24000</v>
      </c>
      <c r="I942" s="8" t="n">
        <v>0.4519774011299435</v>
      </c>
    </row>
    <row r="943">
      <c r="A943" s="6" t="inlineStr">
        <is>
          <t>2025-10</t>
        </is>
      </c>
      <c r="B943" s="6" t="inlineStr">
        <is>
          <t>训练服饰</t>
        </is>
      </c>
      <c r="C943" s="6" t="inlineStr">
        <is>
          <t>华东</t>
        </is>
      </c>
      <c r="D943" s="6" t="inlineStr">
        <is>
          <t>李娜</t>
        </is>
      </c>
      <c r="E943" s="6" t="inlineStr">
        <is>
          <t>茁长少儿体适能</t>
        </is>
      </c>
      <c r="F943" s="7" t="n">
        <v>64500</v>
      </c>
      <c r="G943" s="7" t="n">
        <v>36100</v>
      </c>
      <c r="H943" s="7" t="n">
        <v>28400</v>
      </c>
      <c r="I943" s="8" t="n">
        <v>0.4403100775193798</v>
      </c>
    </row>
    <row r="944">
      <c r="A944" s="6" t="inlineStr">
        <is>
          <t>2025-10</t>
        </is>
      </c>
      <c r="B944" s="6" t="inlineStr">
        <is>
          <t>训练服饰</t>
        </is>
      </c>
      <c r="C944" s="6" t="inlineStr">
        <is>
          <t>华东</t>
        </is>
      </c>
      <c r="D944" s="6" t="inlineStr">
        <is>
          <t>王芳</t>
        </is>
      </c>
      <c r="E944" s="6" t="inlineStr">
        <is>
          <t>启航健身中心</t>
        </is>
      </c>
      <c r="F944" s="7" t="n">
        <v>56400</v>
      </c>
      <c r="G944" s="7" t="n">
        <v>29600</v>
      </c>
      <c r="H944" s="7" t="n">
        <v>26800</v>
      </c>
      <c r="I944" s="8" t="n">
        <v>0.475177304964539</v>
      </c>
    </row>
    <row r="945">
      <c r="A945" s="6" t="inlineStr">
        <is>
          <t>2025-10</t>
        </is>
      </c>
      <c r="B945" s="6" t="inlineStr">
        <is>
          <t>训练服饰</t>
        </is>
      </c>
      <c r="C945" s="6" t="inlineStr">
        <is>
          <t>华东</t>
        </is>
      </c>
      <c r="D945" s="6" t="inlineStr">
        <is>
          <t>刘强</t>
        </is>
      </c>
      <c r="E945" s="6" t="inlineStr">
        <is>
          <t>启航健身中心</t>
        </is>
      </c>
      <c r="F945" s="7" t="n">
        <v>50900</v>
      </c>
      <c r="G945" s="7" t="n">
        <v>26600</v>
      </c>
      <c r="H945" s="7" t="n">
        <v>24300</v>
      </c>
      <c r="I945" s="8" t="n">
        <v>0.4774066797642436</v>
      </c>
    </row>
    <row r="946">
      <c r="A946" s="6" t="inlineStr">
        <is>
          <t>2025-10</t>
        </is>
      </c>
      <c r="B946" s="6" t="inlineStr">
        <is>
          <t>训练服饰</t>
        </is>
      </c>
      <c r="C946" s="6" t="inlineStr">
        <is>
          <t>华东</t>
        </is>
      </c>
      <c r="D946" s="6" t="inlineStr">
        <is>
          <t>陈静</t>
        </is>
      </c>
      <c r="E946" s="6" t="inlineStr">
        <is>
          <t>成长树运动馆</t>
        </is>
      </c>
      <c r="F946" s="7" t="n">
        <v>61600</v>
      </c>
      <c r="G946" s="7" t="n">
        <v>35200</v>
      </c>
      <c r="H946" s="7" t="n">
        <v>26400</v>
      </c>
      <c r="I946" s="8" t="n">
        <v>0.4285714285714285</v>
      </c>
    </row>
    <row r="947">
      <c r="A947" s="6" t="inlineStr">
        <is>
          <t>2025-10</t>
        </is>
      </c>
      <c r="B947" s="6" t="inlineStr">
        <is>
          <t>训练服饰</t>
        </is>
      </c>
      <c r="C947" s="6" t="inlineStr">
        <is>
          <t>华北</t>
        </is>
      </c>
      <c r="D947" s="6" t="inlineStr">
        <is>
          <t>张伟</t>
        </is>
      </c>
      <c r="E947" s="6" t="inlineStr">
        <is>
          <t>强体体育</t>
        </is>
      </c>
      <c r="F947" s="7" t="n">
        <v>42400</v>
      </c>
      <c r="G947" s="7" t="n">
        <v>22700</v>
      </c>
      <c r="H947" s="7" t="n">
        <v>19700</v>
      </c>
      <c r="I947" s="8" t="n">
        <v>0.4646226415094339</v>
      </c>
    </row>
    <row r="948">
      <c r="A948" s="6" t="inlineStr">
        <is>
          <t>2025-10</t>
        </is>
      </c>
      <c r="B948" s="6" t="inlineStr">
        <is>
          <t>训练服饰</t>
        </is>
      </c>
      <c r="C948" s="6" t="inlineStr">
        <is>
          <t>华北</t>
        </is>
      </c>
      <c r="D948" s="6" t="inlineStr">
        <is>
          <t>李娜</t>
        </is>
      </c>
      <c r="E948" s="6" t="inlineStr">
        <is>
          <t>活力无限健身</t>
        </is>
      </c>
      <c r="F948" s="7" t="n">
        <v>41600</v>
      </c>
      <c r="G948" s="7" t="n">
        <v>22000</v>
      </c>
      <c r="H948" s="7" t="n">
        <v>19600</v>
      </c>
      <c r="I948" s="8" t="n">
        <v>0.4711538461538461</v>
      </c>
    </row>
    <row r="949">
      <c r="A949" s="6" t="inlineStr">
        <is>
          <t>2025-10</t>
        </is>
      </c>
      <c r="B949" s="6" t="inlineStr">
        <is>
          <t>训练服饰</t>
        </is>
      </c>
      <c r="C949" s="6" t="inlineStr">
        <is>
          <t>华北</t>
        </is>
      </c>
      <c r="D949" s="6" t="inlineStr">
        <is>
          <t>王芳</t>
        </is>
      </c>
      <c r="E949" s="6" t="inlineStr">
        <is>
          <t>启航健身中心</t>
        </is>
      </c>
      <c r="F949" s="7" t="n">
        <v>53500</v>
      </c>
      <c r="G949" s="7" t="n">
        <v>29800</v>
      </c>
      <c r="H949" s="7" t="n">
        <v>23700</v>
      </c>
      <c r="I949" s="8" t="n">
        <v>0.4429906542056075</v>
      </c>
    </row>
    <row r="950">
      <c r="A950" s="6" t="inlineStr">
        <is>
          <t>2025-10</t>
        </is>
      </c>
      <c r="B950" s="6" t="inlineStr">
        <is>
          <t>训练服饰</t>
        </is>
      </c>
      <c r="C950" s="6" t="inlineStr">
        <is>
          <t>华北</t>
        </is>
      </c>
      <c r="D950" s="6" t="inlineStr">
        <is>
          <t>刘强</t>
        </is>
      </c>
      <c r="E950" s="6" t="inlineStr">
        <is>
          <t>强体体育</t>
        </is>
      </c>
      <c r="F950" s="7" t="n">
        <v>46200</v>
      </c>
      <c r="G950" s="7" t="n">
        <v>25900</v>
      </c>
      <c r="H950" s="7" t="n">
        <v>20300</v>
      </c>
      <c r="I950" s="8" t="n">
        <v>0.4393939393939394</v>
      </c>
    </row>
    <row r="951">
      <c r="A951" s="6" t="inlineStr">
        <is>
          <t>2025-10</t>
        </is>
      </c>
      <c r="B951" s="6" t="inlineStr">
        <is>
          <t>训练服饰</t>
        </is>
      </c>
      <c r="C951" s="6" t="inlineStr">
        <is>
          <t>华北</t>
        </is>
      </c>
      <c r="D951" s="6" t="inlineStr">
        <is>
          <t>陈静</t>
        </is>
      </c>
      <c r="E951" s="6" t="inlineStr">
        <is>
          <t>智练体育</t>
        </is>
      </c>
      <c r="F951" s="7" t="n">
        <v>38200</v>
      </c>
      <c r="G951" s="7" t="n">
        <v>21400</v>
      </c>
      <c r="H951" s="7" t="n">
        <v>16800</v>
      </c>
      <c r="I951" s="8" t="n">
        <v>0.4397905759162304</v>
      </c>
    </row>
    <row r="952">
      <c r="A952" s="6" t="inlineStr">
        <is>
          <t>2025-10</t>
        </is>
      </c>
      <c r="B952" s="6" t="inlineStr">
        <is>
          <t>训练服饰</t>
        </is>
      </c>
      <c r="C952" s="6" t="inlineStr">
        <is>
          <t>华南</t>
        </is>
      </c>
      <c r="D952" s="6" t="inlineStr">
        <is>
          <t>张伟</t>
        </is>
      </c>
      <c r="E952" s="6" t="inlineStr">
        <is>
          <t>星跃体育</t>
        </is>
      </c>
      <c r="F952" s="7" t="n">
        <v>44600</v>
      </c>
      <c r="G952" s="7" t="n">
        <v>23900</v>
      </c>
      <c r="H952" s="7" t="n">
        <v>20700</v>
      </c>
      <c r="I952" s="8" t="n">
        <v>0.4641255605381166</v>
      </c>
    </row>
    <row r="953">
      <c r="A953" s="6" t="inlineStr">
        <is>
          <t>2025-10</t>
        </is>
      </c>
      <c r="B953" s="6" t="inlineStr">
        <is>
          <t>训练服饰</t>
        </is>
      </c>
      <c r="C953" s="6" t="inlineStr">
        <is>
          <t>华南</t>
        </is>
      </c>
      <c r="D953" s="6" t="inlineStr">
        <is>
          <t>李娜</t>
        </is>
      </c>
      <c r="E953" s="6" t="inlineStr">
        <is>
          <t>恒康营养</t>
        </is>
      </c>
      <c r="F953" s="7" t="n">
        <v>45700</v>
      </c>
      <c r="G953" s="7" t="n">
        <v>25000</v>
      </c>
      <c r="H953" s="7" t="n">
        <v>20700</v>
      </c>
      <c r="I953" s="8" t="n">
        <v>0.4529540481400438</v>
      </c>
    </row>
    <row r="954">
      <c r="A954" s="6" t="inlineStr">
        <is>
          <t>2025-10</t>
        </is>
      </c>
      <c r="B954" s="6" t="inlineStr">
        <is>
          <t>训练服饰</t>
        </is>
      </c>
      <c r="C954" s="6" t="inlineStr">
        <is>
          <t>华南</t>
        </is>
      </c>
      <c r="D954" s="6" t="inlineStr">
        <is>
          <t>王芳</t>
        </is>
      </c>
      <c r="E954" s="6" t="inlineStr">
        <is>
          <t>锋行体育</t>
        </is>
      </c>
      <c r="F954" s="7" t="n">
        <v>49500</v>
      </c>
      <c r="G954" s="7" t="n">
        <v>26400</v>
      </c>
      <c r="H954" s="7" t="n">
        <v>23100</v>
      </c>
      <c r="I954" s="8" t="n">
        <v>0.4666666666666667</v>
      </c>
    </row>
    <row r="955">
      <c r="A955" s="6" t="inlineStr">
        <is>
          <t>2025-10</t>
        </is>
      </c>
      <c r="B955" s="6" t="inlineStr">
        <is>
          <t>训练服饰</t>
        </is>
      </c>
      <c r="C955" s="6" t="inlineStr">
        <is>
          <t>华南</t>
        </is>
      </c>
      <c r="D955" s="6" t="inlineStr">
        <is>
          <t>刘强</t>
        </is>
      </c>
      <c r="E955" s="6" t="inlineStr">
        <is>
          <t>锐健身工作室</t>
        </is>
      </c>
      <c r="F955" s="7" t="n">
        <v>46000</v>
      </c>
      <c r="G955" s="7" t="n">
        <v>25400</v>
      </c>
      <c r="H955" s="7" t="n">
        <v>20600</v>
      </c>
      <c r="I955" s="8" t="n">
        <v>0.4478260869565218</v>
      </c>
    </row>
    <row r="956">
      <c r="A956" s="6" t="inlineStr">
        <is>
          <t>2025-10</t>
        </is>
      </c>
      <c r="B956" s="6" t="inlineStr">
        <is>
          <t>训练服饰</t>
        </is>
      </c>
      <c r="C956" s="6" t="inlineStr">
        <is>
          <t>华南</t>
        </is>
      </c>
      <c r="D956" s="6" t="inlineStr">
        <is>
          <t>陈静</t>
        </is>
      </c>
      <c r="E956" s="6" t="inlineStr">
        <is>
          <t>茁长少儿体适能</t>
        </is>
      </c>
      <c r="F956" s="7" t="n">
        <v>42300</v>
      </c>
      <c r="G956" s="7" t="n">
        <v>23100</v>
      </c>
      <c r="H956" s="7" t="n">
        <v>19200</v>
      </c>
      <c r="I956" s="8" t="n">
        <v>0.4539007092198581</v>
      </c>
    </row>
    <row r="957">
      <c r="A957" s="6" t="inlineStr">
        <is>
          <t>2025-10</t>
        </is>
      </c>
      <c r="B957" s="6" t="inlineStr">
        <is>
          <t>训练服饰</t>
        </is>
      </c>
      <c r="C957" s="6" t="inlineStr">
        <is>
          <t>西部</t>
        </is>
      </c>
      <c r="D957" s="6" t="inlineStr">
        <is>
          <t>张伟</t>
        </is>
      </c>
      <c r="E957" s="6" t="inlineStr">
        <is>
          <t>阳光体能</t>
        </is>
      </c>
      <c r="F957" s="7" t="n">
        <v>36000</v>
      </c>
      <c r="G957" s="7" t="n">
        <v>20300</v>
      </c>
      <c r="H957" s="7" t="n">
        <v>15700</v>
      </c>
      <c r="I957" s="8" t="n">
        <v>0.4361111111111111</v>
      </c>
    </row>
    <row r="958">
      <c r="A958" s="6" t="inlineStr">
        <is>
          <t>2025-10</t>
        </is>
      </c>
      <c r="B958" s="6" t="inlineStr">
        <is>
          <t>训练服饰</t>
        </is>
      </c>
      <c r="C958" s="6" t="inlineStr">
        <is>
          <t>西部</t>
        </is>
      </c>
      <c r="D958" s="6" t="inlineStr">
        <is>
          <t>李娜</t>
        </is>
      </c>
      <c r="E958" s="6" t="inlineStr">
        <is>
          <t>乐动体育</t>
        </is>
      </c>
      <c r="F958" s="7" t="n">
        <v>32600</v>
      </c>
      <c r="G958" s="7" t="n">
        <v>17900</v>
      </c>
      <c r="H958" s="7" t="n">
        <v>14700</v>
      </c>
      <c r="I958" s="8" t="n">
        <v>0.450920245398773</v>
      </c>
    </row>
    <row r="959">
      <c r="A959" s="6" t="inlineStr">
        <is>
          <t>2025-10</t>
        </is>
      </c>
      <c r="B959" s="6" t="inlineStr">
        <is>
          <t>训练服饰</t>
        </is>
      </c>
      <c r="C959" s="6" t="inlineStr">
        <is>
          <t>西部</t>
        </is>
      </c>
      <c r="D959" s="6" t="inlineStr">
        <is>
          <t>王芳</t>
        </is>
      </c>
      <c r="E959" s="6" t="inlineStr">
        <is>
          <t>篮途体育文化</t>
        </is>
      </c>
      <c r="F959" s="7" t="n">
        <v>37200</v>
      </c>
      <c r="G959" s="7" t="n">
        <v>21100</v>
      </c>
      <c r="H959" s="7" t="n">
        <v>16100</v>
      </c>
      <c r="I959" s="8" t="n">
        <v>0.4327956989247312</v>
      </c>
    </row>
    <row r="960">
      <c r="A960" s="6" t="inlineStr">
        <is>
          <t>2025-10</t>
        </is>
      </c>
      <c r="B960" s="6" t="inlineStr">
        <is>
          <t>训练服饰</t>
        </is>
      </c>
      <c r="C960" s="6" t="inlineStr">
        <is>
          <t>西部</t>
        </is>
      </c>
      <c r="D960" s="6" t="inlineStr">
        <is>
          <t>刘强</t>
        </is>
      </c>
      <c r="E960" s="6" t="inlineStr">
        <is>
          <t>乐动体育</t>
        </is>
      </c>
      <c r="F960" s="7" t="n">
        <v>30700</v>
      </c>
      <c r="G960" s="7" t="n">
        <v>16500</v>
      </c>
      <c r="H960" s="7" t="n">
        <v>14200</v>
      </c>
      <c r="I960" s="8" t="n">
        <v>0.4625407166123778</v>
      </c>
    </row>
    <row r="961">
      <c r="A961" s="6" t="inlineStr">
        <is>
          <t>2025-10</t>
        </is>
      </c>
      <c r="B961" s="6" t="inlineStr">
        <is>
          <t>训练服饰</t>
        </is>
      </c>
      <c r="C961" s="6" t="inlineStr">
        <is>
          <t>西部</t>
        </is>
      </c>
      <c r="D961" s="6" t="inlineStr">
        <is>
          <t>陈静</t>
        </is>
      </c>
      <c r="E961" s="6" t="inlineStr">
        <is>
          <t>活力无限健身</t>
        </is>
      </c>
      <c r="F961" s="7" t="n">
        <v>30600</v>
      </c>
      <c r="G961" s="7" t="n">
        <v>16500</v>
      </c>
      <c r="H961" s="7" t="n">
        <v>14100</v>
      </c>
      <c r="I961" s="8" t="n">
        <v>0.4607843137254902</v>
      </c>
    </row>
    <row r="962">
      <c r="A962" s="6" t="inlineStr">
        <is>
          <t>2025-10</t>
        </is>
      </c>
      <c r="B962" s="6" t="inlineStr">
        <is>
          <t>营养补给</t>
        </is>
      </c>
      <c r="C962" s="6" t="inlineStr">
        <is>
          <t>华东</t>
        </is>
      </c>
      <c r="D962" s="6" t="inlineStr">
        <is>
          <t>张伟</t>
        </is>
      </c>
      <c r="E962" s="6" t="inlineStr">
        <is>
          <t>风云篮球馆</t>
        </is>
      </c>
      <c r="F962" s="7" t="n">
        <v>64600</v>
      </c>
      <c r="G962" s="7" t="n">
        <v>50200</v>
      </c>
      <c r="H962" s="7" t="n">
        <v>14400</v>
      </c>
      <c r="I962" s="8" t="n">
        <v>0.2229102167182662</v>
      </c>
    </row>
    <row r="963">
      <c r="A963" s="6" t="inlineStr">
        <is>
          <t>2025-10</t>
        </is>
      </c>
      <c r="B963" s="6" t="inlineStr">
        <is>
          <t>营养补给</t>
        </is>
      </c>
      <c r="C963" s="6" t="inlineStr">
        <is>
          <t>华东</t>
        </is>
      </c>
      <c r="D963" s="6" t="inlineStr">
        <is>
          <t>李娜</t>
        </is>
      </c>
      <c r="E963" s="6" t="inlineStr">
        <is>
          <t>飞跃训练营</t>
        </is>
      </c>
      <c r="F963" s="7" t="n">
        <v>70400</v>
      </c>
      <c r="G963" s="7" t="n">
        <v>54700</v>
      </c>
      <c r="H963" s="7" t="n">
        <v>15700</v>
      </c>
      <c r="I963" s="8" t="n">
        <v>0.2230113636363636</v>
      </c>
    </row>
    <row r="964">
      <c r="A964" s="6" t="inlineStr">
        <is>
          <t>2025-10</t>
        </is>
      </c>
      <c r="B964" s="6" t="inlineStr">
        <is>
          <t>营养补给</t>
        </is>
      </c>
      <c r="C964" s="6" t="inlineStr">
        <is>
          <t>华东</t>
        </is>
      </c>
      <c r="D964" s="6" t="inlineStr">
        <is>
          <t>王芳</t>
        </is>
      </c>
      <c r="E964" s="6" t="inlineStr">
        <is>
          <t>飞跃训练营</t>
        </is>
      </c>
      <c r="F964" s="7" t="n">
        <v>79500</v>
      </c>
      <c r="G964" s="7" t="n">
        <v>58000</v>
      </c>
      <c r="H964" s="7" t="n">
        <v>21500</v>
      </c>
      <c r="I964" s="8" t="n">
        <v>0.270440251572327</v>
      </c>
    </row>
    <row r="965">
      <c r="A965" s="6" t="inlineStr">
        <is>
          <t>2025-10</t>
        </is>
      </c>
      <c r="B965" s="6" t="inlineStr">
        <is>
          <t>营养补给</t>
        </is>
      </c>
      <c r="C965" s="6" t="inlineStr">
        <is>
          <t>华东</t>
        </is>
      </c>
      <c r="D965" s="6" t="inlineStr">
        <is>
          <t>刘强</t>
        </is>
      </c>
      <c r="E965" s="6" t="inlineStr">
        <is>
          <t>巅峰运动</t>
        </is>
      </c>
      <c r="F965" s="7" t="n">
        <v>65500</v>
      </c>
      <c r="G965" s="7" t="n">
        <v>47200</v>
      </c>
      <c r="H965" s="7" t="n">
        <v>18300</v>
      </c>
      <c r="I965" s="8" t="n">
        <v>0.2793893129770992</v>
      </c>
    </row>
    <row r="966">
      <c r="A966" s="6" t="inlineStr">
        <is>
          <t>2025-10</t>
        </is>
      </c>
      <c r="B966" s="6" t="inlineStr">
        <is>
          <t>营养补给</t>
        </is>
      </c>
      <c r="C966" s="6" t="inlineStr">
        <is>
          <t>华东</t>
        </is>
      </c>
      <c r="D966" s="6" t="inlineStr">
        <is>
          <t>陈静</t>
        </is>
      </c>
      <c r="E966" s="6" t="inlineStr">
        <is>
          <t>康威运动商城</t>
        </is>
      </c>
      <c r="F966" s="7" t="n">
        <v>62200</v>
      </c>
      <c r="G966" s="7" t="n">
        <v>48100</v>
      </c>
      <c r="H966" s="7" t="n">
        <v>14100</v>
      </c>
      <c r="I966" s="8" t="n">
        <v>0.2266881028938907</v>
      </c>
    </row>
    <row r="967">
      <c r="A967" s="6" t="inlineStr">
        <is>
          <t>2025-10</t>
        </is>
      </c>
      <c r="B967" s="6" t="inlineStr">
        <is>
          <t>营养补给</t>
        </is>
      </c>
      <c r="C967" s="6" t="inlineStr">
        <is>
          <t>华北</t>
        </is>
      </c>
      <c r="D967" s="6" t="inlineStr">
        <is>
          <t>张伟</t>
        </is>
      </c>
      <c r="E967" s="6" t="inlineStr">
        <is>
          <t>天天向上健身</t>
        </is>
      </c>
      <c r="F967" s="7" t="n">
        <v>62100</v>
      </c>
      <c r="G967" s="7" t="n">
        <v>46600</v>
      </c>
      <c r="H967" s="7" t="n">
        <v>15500</v>
      </c>
      <c r="I967" s="8" t="n">
        <v>0.249597423510467</v>
      </c>
    </row>
    <row r="968">
      <c r="A968" s="6" t="inlineStr">
        <is>
          <t>2025-10</t>
        </is>
      </c>
      <c r="B968" s="6" t="inlineStr">
        <is>
          <t>营养补给</t>
        </is>
      </c>
      <c r="C968" s="6" t="inlineStr">
        <is>
          <t>华北</t>
        </is>
      </c>
      <c r="D968" s="6" t="inlineStr">
        <is>
          <t>李娜</t>
        </is>
      </c>
      <c r="E968" s="6" t="inlineStr">
        <is>
          <t>巅峰运动</t>
        </is>
      </c>
      <c r="F968" s="7" t="n">
        <v>50600</v>
      </c>
      <c r="G968" s="7" t="n">
        <v>37200</v>
      </c>
      <c r="H968" s="7" t="n">
        <v>13400</v>
      </c>
      <c r="I968" s="8" t="n">
        <v>0.2648221343873518</v>
      </c>
    </row>
    <row r="969">
      <c r="A969" s="6" t="inlineStr">
        <is>
          <t>2025-10</t>
        </is>
      </c>
      <c r="B969" s="6" t="inlineStr">
        <is>
          <t>营养补给</t>
        </is>
      </c>
      <c r="C969" s="6" t="inlineStr">
        <is>
          <t>华北</t>
        </is>
      </c>
      <c r="D969" s="6" t="inlineStr">
        <is>
          <t>王芳</t>
        </is>
      </c>
      <c r="E969" s="6" t="inlineStr">
        <is>
          <t>小飞侠运动俱乐部</t>
        </is>
      </c>
      <c r="F969" s="7" t="n">
        <v>61100</v>
      </c>
      <c r="G969" s="7" t="n">
        <v>44100</v>
      </c>
      <c r="H969" s="7" t="n">
        <v>17000</v>
      </c>
      <c r="I969" s="8" t="n">
        <v>0.2782324058919803</v>
      </c>
    </row>
    <row r="970">
      <c r="A970" s="6" t="inlineStr">
        <is>
          <t>2025-10</t>
        </is>
      </c>
      <c r="B970" s="6" t="inlineStr">
        <is>
          <t>营养补给</t>
        </is>
      </c>
      <c r="C970" s="6" t="inlineStr">
        <is>
          <t>华北</t>
        </is>
      </c>
      <c r="D970" s="6" t="inlineStr">
        <is>
          <t>刘强</t>
        </is>
      </c>
      <c r="E970" s="6" t="inlineStr">
        <is>
          <t>腾飞体育用品</t>
        </is>
      </c>
      <c r="F970" s="7" t="n">
        <v>46800</v>
      </c>
      <c r="G970" s="7" t="n">
        <v>34400</v>
      </c>
      <c r="H970" s="7" t="n">
        <v>12400</v>
      </c>
      <c r="I970" s="8" t="n">
        <v>0.264957264957265</v>
      </c>
    </row>
    <row r="971">
      <c r="A971" s="6" t="inlineStr">
        <is>
          <t>2025-10</t>
        </is>
      </c>
      <c r="B971" s="6" t="inlineStr">
        <is>
          <t>营养补给</t>
        </is>
      </c>
      <c r="C971" s="6" t="inlineStr">
        <is>
          <t>华北</t>
        </is>
      </c>
      <c r="D971" s="6" t="inlineStr">
        <is>
          <t>陈静</t>
        </is>
      </c>
      <c r="E971" s="6" t="inlineStr">
        <is>
          <t>小飞侠运动俱乐部</t>
        </is>
      </c>
      <c r="F971" s="7" t="n">
        <v>51500</v>
      </c>
      <c r="G971" s="7" t="n">
        <v>38400</v>
      </c>
      <c r="H971" s="7" t="n">
        <v>13100</v>
      </c>
      <c r="I971" s="8" t="n">
        <v>0.2543689320388349</v>
      </c>
    </row>
    <row r="972">
      <c r="A972" s="6" t="inlineStr">
        <is>
          <t>2025-10</t>
        </is>
      </c>
      <c r="B972" s="6" t="inlineStr">
        <is>
          <t>营养补给</t>
        </is>
      </c>
      <c r="C972" s="6" t="inlineStr">
        <is>
          <t>华南</t>
        </is>
      </c>
      <c r="D972" s="6" t="inlineStr">
        <is>
          <t>张伟</t>
        </is>
      </c>
      <c r="E972" s="6" t="inlineStr">
        <is>
          <t>环宇体育</t>
        </is>
      </c>
      <c r="F972" s="7" t="n">
        <v>68700</v>
      </c>
      <c r="G972" s="7" t="n">
        <v>53200</v>
      </c>
      <c r="H972" s="7" t="n">
        <v>15500</v>
      </c>
      <c r="I972" s="8" t="n">
        <v>0.2256186317321688</v>
      </c>
    </row>
    <row r="973">
      <c r="A973" s="6" t="inlineStr">
        <is>
          <t>2025-10</t>
        </is>
      </c>
      <c r="B973" s="6" t="inlineStr">
        <is>
          <t>营养补给</t>
        </is>
      </c>
      <c r="C973" s="6" t="inlineStr">
        <is>
          <t>华南</t>
        </is>
      </c>
      <c r="D973" s="6" t="inlineStr">
        <is>
          <t>李娜</t>
        </is>
      </c>
      <c r="E973" s="6" t="inlineStr">
        <is>
          <t>健将体育</t>
        </is>
      </c>
      <c r="F973" s="7" t="n">
        <v>71900</v>
      </c>
      <c r="G973" s="7" t="n">
        <v>55900</v>
      </c>
      <c r="H973" s="7" t="n">
        <v>16000</v>
      </c>
      <c r="I973" s="8" t="n">
        <v>0.2225312934631433</v>
      </c>
    </row>
    <row r="974">
      <c r="A974" s="6" t="inlineStr">
        <is>
          <t>2025-10</t>
        </is>
      </c>
      <c r="B974" s="6" t="inlineStr">
        <is>
          <t>营养补给</t>
        </is>
      </c>
      <c r="C974" s="6" t="inlineStr">
        <is>
          <t>华南</t>
        </is>
      </c>
      <c r="D974" s="6" t="inlineStr">
        <is>
          <t>王芳</t>
        </is>
      </c>
      <c r="E974" s="6" t="inlineStr">
        <is>
          <t>康威运动商城</t>
        </is>
      </c>
      <c r="F974" s="7" t="n">
        <v>57500</v>
      </c>
      <c r="G974" s="7" t="n">
        <v>43700</v>
      </c>
      <c r="H974" s="7" t="n">
        <v>13800</v>
      </c>
      <c r="I974" s="8" t="n">
        <v>0.24</v>
      </c>
    </row>
    <row r="975">
      <c r="A975" s="6" t="inlineStr">
        <is>
          <t>2025-10</t>
        </is>
      </c>
      <c r="B975" s="6" t="inlineStr">
        <is>
          <t>营养补给</t>
        </is>
      </c>
      <c r="C975" s="6" t="inlineStr">
        <is>
          <t>华南</t>
        </is>
      </c>
      <c r="D975" s="6" t="inlineStr">
        <is>
          <t>刘强</t>
        </is>
      </c>
      <c r="E975" s="6" t="inlineStr">
        <is>
          <t>雷霆篮球</t>
        </is>
      </c>
      <c r="F975" s="7" t="n">
        <v>63300</v>
      </c>
      <c r="G975" s="7" t="n">
        <v>47500</v>
      </c>
      <c r="H975" s="7" t="n">
        <v>15800</v>
      </c>
      <c r="I975" s="8" t="n">
        <v>0.2496050552922591</v>
      </c>
    </row>
    <row r="976">
      <c r="A976" s="6" t="inlineStr">
        <is>
          <t>2025-10</t>
        </is>
      </c>
      <c r="B976" s="6" t="inlineStr">
        <is>
          <t>营养补给</t>
        </is>
      </c>
      <c r="C976" s="6" t="inlineStr">
        <is>
          <t>华南</t>
        </is>
      </c>
      <c r="D976" s="6" t="inlineStr">
        <is>
          <t>陈静</t>
        </is>
      </c>
      <c r="E976" s="6" t="inlineStr">
        <is>
          <t>冠军之路俱乐部</t>
        </is>
      </c>
      <c r="F976" s="7" t="n">
        <v>58100</v>
      </c>
      <c r="G976" s="7" t="n">
        <v>44400</v>
      </c>
      <c r="H976" s="7" t="n">
        <v>13700</v>
      </c>
      <c r="I976" s="8" t="n">
        <v>0.2358003442340792</v>
      </c>
    </row>
    <row r="977">
      <c r="A977" s="6" t="inlineStr">
        <is>
          <t>2025-10</t>
        </is>
      </c>
      <c r="B977" s="6" t="inlineStr">
        <is>
          <t>营养补给</t>
        </is>
      </c>
      <c r="C977" s="6" t="inlineStr">
        <is>
          <t>西部</t>
        </is>
      </c>
      <c r="D977" s="6" t="inlineStr">
        <is>
          <t>张伟</t>
        </is>
      </c>
      <c r="E977" s="6" t="inlineStr">
        <is>
          <t>乐动体育</t>
        </is>
      </c>
      <c r="F977" s="7" t="n">
        <v>37000</v>
      </c>
      <c r="G977" s="7" t="n">
        <v>28000</v>
      </c>
      <c r="H977" s="7" t="n">
        <v>9000</v>
      </c>
      <c r="I977" s="8" t="n">
        <v>0.2432432432432433</v>
      </c>
    </row>
    <row r="978">
      <c r="A978" s="6" t="inlineStr">
        <is>
          <t>2025-10</t>
        </is>
      </c>
      <c r="B978" s="6" t="inlineStr">
        <is>
          <t>营养补给</t>
        </is>
      </c>
      <c r="C978" s="6" t="inlineStr">
        <is>
          <t>西部</t>
        </is>
      </c>
      <c r="D978" s="6" t="inlineStr">
        <is>
          <t>李娜</t>
        </is>
      </c>
      <c r="E978" s="6" t="inlineStr">
        <is>
          <t>乐动体育</t>
        </is>
      </c>
      <c r="F978" s="7" t="n">
        <v>42800</v>
      </c>
      <c r="G978" s="7" t="n">
        <v>32400</v>
      </c>
      <c r="H978" s="7" t="n">
        <v>10400</v>
      </c>
      <c r="I978" s="8" t="n">
        <v>0.2429906542056075</v>
      </c>
    </row>
    <row r="979">
      <c r="A979" s="6" t="inlineStr">
        <is>
          <t>2025-10</t>
        </is>
      </c>
      <c r="B979" s="6" t="inlineStr">
        <is>
          <t>营养补给</t>
        </is>
      </c>
      <c r="C979" s="6" t="inlineStr">
        <is>
          <t>西部</t>
        </is>
      </c>
      <c r="D979" s="6" t="inlineStr">
        <is>
          <t>王芳</t>
        </is>
      </c>
      <c r="E979" s="6" t="inlineStr">
        <is>
          <t>劲爆运动用品</t>
        </is>
      </c>
      <c r="F979" s="7" t="n">
        <v>40900</v>
      </c>
      <c r="G979" s="7" t="n">
        <v>30300</v>
      </c>
      <c r="H979" s="7" t="n">
        <v>10600</v>
      </c>
      <c r="I979" s="8" t="n">
        <v>0.2591687041564792</v>
      </c>
    </row>
    <row r="980">
      <c r="A980" s="6" t="inlineStr">
        <is>
          <t>2025-10</t>
        </is>
      </c>
      <c r="B980" s="6" t="inlineStr">
        <is>
          <t>营养补给</t>
        </is>
      </c>
      <c r="C980" s="6" t="inlineStr">
        <is>
          <t>西部</t>
        </is>
      </c>
      <c r="D980" s="6" t="inlineStr">
        <is>
          <t>刘强</t>
        </is>
      </c>
      <c r="E980" s="6" t="inlineStr">
        <is>
          <t>篮途体育文化</t>
        </is>
      </c>
      <c r="F980" s="7" t="n">
        <v>32100</v>
      </c>
      <c r="G980" s="7" t="n">
        <v>23200</v>
      </c>
      <c r="H980" s="7" t="n">
        <v>8900</v>
      </c>
      <c r="I980" s="8" t="n">
        <v>0.2772585669781931</v>
      </c>
    </row>
    <row r="981">
      <c r="A981" s="6" t="inlineStr">
        <is>
          <t>2025-10</t>
        </is>
      </c>
      <c r="B981" s="6" t="inlineStr">
        <is>
          <t>营养补给</t>
        </is>
      </c>
      <c r="C981" s="6" t="inlineStr">
        <is>
          <t>西部</t>
        </is>
      </c>
      <c r="D981" s="6" t="inlineStr">
        <is>
          <t>陈静</t>
        </is>
      </c>
      <c r="E981" s="6" t="inlineStr">
        <is>
          <t>动能营养</t>
        </is>
      </c>
      <c r="F981" s="7" t="n">
        <v>44200</v>
      </c>
      <c r="G981" s="7" t="n">
        <v>33600</v>
      </c>
      <c r="H981" s="7" t="n">
        <v>10600</v>
      </c>
      <c r="I981" s="8" t="n">
        <v>0.2398190045248869</v>
      </c>
    </row>
    <row r="982">
      <c r="A982" s="6" t="inlineStr">
        <is>
          <t>2025-10</t>
        </is>
      </c>
      <c r="B982" s="6" t="inlineStr">
        <is>
          <t>智能穿戴</t>
        </is>
      </c>
      <c r="C982" s="6" t="inlineStr">
        <is>
          <t>华东</t>
        </is>
      </c>
      <c r="D982" s="6" t="inlineStr">
        <is>
          <t>张伟</t>
        </is>
      </c>
      <c r="E982" s="6" t="inlineStr">
        <is>
          <t>风云篮球馆</t>
        </is>
      </c>
      <c r="F982" s="7" t="n">
        <v>90100</v>
      </c>
      <c r="G982" s="7" t="n">
        <v>56100</v>
      </c>
      <c r="H982" s="7" t="n">
        <v>34000</v>
      </c>
      <c r="I982" s="8" t="n">
        <v>0.3773584905660378</v>
      </c>
    </row>
    <row r="983">
      <c r="A983" s="6" t="inlineStr">
        <is>
          <t>2025-10</t>
        </is>
      </c>
      <c r="B983" s="6" t="inlineStr">
        <is>
          <t>智能穿戴</t>
        </is>
      </c>
      <c r="C983" s="6" t="inlineStr">
        <is>
          <t>华东</t>
        </is>
      </c>
      <c r="D983" s="6" t="inlineStr">
        <is>
          <t>李娜</t>
        </is>
      </c>
      <c r="E983" s="6" t="inlineStr">
        <is>
          <t>优加体能中心</t>
        </is>
      </c>
      <c r="F983" s="7" t="n">
        <v>93700</v>
      </c>
      <c r="G983" s="7" t="n">
        <v>55900</v>
      </c>
      <c r="H983" s="7" t="n">
        <v>37800</v>
      </c>
      <c r="I983" s="8" t="n">
        <v>0.4034151547491996</v>
      </c>
    </row>
    <row r="984">
      <c r="A984" s="6" t="inlineStr">
        <is>
          <t>2025-10</t>
        </is>
      </c>
      <c r="B984" s="6" t="inlineStr">
        <is>
          <t>智能穿戴</t>
        </is>
      </c>
      <c r="C984" s="6" t="inlineStr">
        <is>
          <t>华东</t>
        </is>
      </c>
      <c r="D984" s="6" t="inlineStr">
        <is>
          <t>王芳</t>
        </is>
      </c>
      <c r="E984" s="6" t="inlineStr">
        <is>
          <t>乐动体育</t>
        </is>
      </c>
      <c r="F984" s="7" t="n">
        <v>111000</v>
      </c>
      <c r="G984" s="7" t="n">
        <v>68000</v>
      </c>
      <c r="H984" s="7" t="n">
        <v>43000</v>
      </c>
      <c r="I984" s="8" t="n">
        <v>0.3873873873873874</v>
      </c>
    </row>
    <row r="985">
      <c r="A985" s="6" t="inlineStr">
        <is>
          <t>2025-10</t>
        </is>
      </c>
      <c r="B985" s="6" t="inlineStr">
        <is>
          <t>智能穿戴</t>
        </is>
      </c>
      <c r="C985" s="6" t="inlineStr">
        <is>
          <t>华东</t>
        </is>
      </c>
      <c r="D985" s="6" t="inlineStr">
        <is>
          <t>刘强</t>
        </is>
      </c>
      <c r="E985" s="6" t="inlineStr">
        <is>
          <t>锋行体育</t>
        </is>
      </c>
      <c r="F985" s="7" t="n">
        <v>83600</v>
      </c>
      <c r="G985" s="7" t="n">
        <v>52900</v>
      </c>
      <c r="H985" s="7" t="n">
        <v>30700</v>
      </c>
      <c r="I985" s="8" t="n">
        <v>0.3672248803827751</v>
      </c>
    </row>
    <row r="986">
      <c r="A986" s="6" t="inlineStr">
        <is>
          <t>2025-10</t>
        </is>
      </c>
      <c r="B986" s="6" t="inlineStr">
        <is>
          <t>智能穿戴</t>
        </is>
      </c>
      <c r="C986" s="6" t="inlineStr">
        <is>
          <t>华东</t>
        </is>
      </c>
      <c r="D986" s="6" t="inlineStr">
        <is>
          <t>陈静</t>
        </is>
      </c>
      <c r="E986" s="6" t="inlineStr">
        <is>
          <t>极客穿戴</t>
        </is>
      </c>
      <c r="F986" s="7" t="n">
        <v>98400</v>
      </c>
      <c r="G986" s="7" t="n">
        <v>61600</v>
      </c>
      <c r="H986" s="7" t="n">
        <v>36800</v>
      </c>
      <c r="I986" s="8" t="n">
        <v>0.3739837398373984</v>
      </c>
    </row>
    <row r="987">
      <c r="A987" s="6" t="inlineStr">
        <is>
          <t>2025-10</t>
        </is>
      </c>
      <c r="B987" s="6" t="inlineStr">
        <is>
          <t>智能穿戴</t>
        </is>
      </c>
      <c r="C987" s="6" t="inlineStr">
        <is>
          <t>华北</t>
        </is>
      </c>
      <c r="D987" s="6" t="inlineStr">
        <is>
          <t>张伟</t>
        </is>
      </c>
      <c r="E987" s="6" t="inlineStr">
        <is>
          <t>启航健身中心</t>
        </is>
      </c>
      <c r="F987" s="7" t="n">
        <v>85400</v>
      </c>
      <c r="G987" s="7" t="n">
        <v>53500</v>
      </c>
      <c r="H987" s="7" t="n">
        <v>31900</v>
      </c>
      <c r="I987" s="8" t="n">
        <v>0.373536299765808</v>
      </c>
    </row>
    <row r="988">
      <c r="A988" s="6" t="inlineStr">
        <is>
          <t>2025-10</t>
        </is>
      </c>
      <c r="B988" s="6" t="inlineStr">
        <is>
          <t>智能穿戴</t>
        </is>
      </c>
      <c r="C988" s="6" t="inlineStr">
        <is>
          <t>华北</t>
        </is>
      </c>
      <c r="D988" s="6" t="inlineStr">
        <is>
          <t>李娜</t>
        </is>
      </c>
      <c r="E988" s="6" t="inlineStr">
        <is>
          <t>康威运动商城</t>
        </is>
      </c>
      <c r="F988" s="7" t="n">
        <v>91200</v>
      </c>
      <c r="G988" s="7" t="n">
        <v>55500</v>
      </c>
      <c r="H988" s="7" t="n">
        <v>35700</v>
      </c>
      <c r="I988" s="8" t="n">
        <v>0.3914473684210527</v>
      </c>
    </row>
    <row r="989">
      <c r="A989" s="6" t="inlineStr">
        <is>
          <t>2025-10</t>
        </is>
      </c>
      <c r="B989" s="6" t="inlineStr">
        <is>
          <t>智能穿戴</t>
        </is>
      </c>
      <c r="C989" s="6" t="inlineStr">
        <is>
          <t>华北</t>
        </is>
      </c>
      <c r="D989" s="6" t="inlineStr">
        <is>
          <t>王芳</t>
        </is>
      </c>
      <c r="E989" s="6" t="inlineStr">
        <is>
          <t>康威运动商城</t>
        </is>
      </c>
      <c r="F989" s="7" t="n">
        <v>95400</v>
      </c>
      <c r="G989" s="7" t="n">
        <v>59700</v>
      </c>
      <c r="H989" s="7" t="n">
        <v>35700</v>
      </c>
      <c r="I989" s="8" t="n">
        <v>0.3742138364779874</v>
      </c>
    </row>
    <row r="990">
      <c r="A990" s="6" t="inlineStr">
        <is>
          <t>2025-10</t>
        </is>
      </c>
      <c r="B990" s="6" t="inlineStr">
        <is>
          <t>智能穿戴</t>
        </is>
      </c>
      <c r="C990" s="6" t="inlineStr">
        <is>
          <t>华北</t>
        </is>
      </c>
      <c r="D990" s="6" t="inlineStr">
        <is>
          <t>刘强</t>
        </is>
      </c>
      <c r="E990" s="6" t="inlineStr">
        <is>
          <t>茁长少儿体适能</t>
        </is>
      </c>
      <c r="F990" s="7" t="n">
        <v>68300</v>
      </c>
      <c r="G990" s="7" t="n">
        <v>42700</v>
      </c>
      <c r="H990" s="7" t="n">
        <v>25600</v>
      </c>
      <c r="I990" s="8" t="n">
        <v>0.3748169838945827</v>
      </c>
    </row>
    <row r="991">
      <c r="A991" s="6" t="inlineStr">
        <is>
          <t>2025-10</t>
        </is>
      </c>
      <c r="B991" s="6" t="inlineStr">
        <is>
          <t>智能穿戴</t>
        </is>
      </c>
      <c r="C991" s="6" t="inlineStr">
        <is>
          <t>华北</t>
        </is>
      </c>
      <c r="D991" s="6" t="inlineStr">
        <is>
          <t>陈静</t>
        </is>
      </c>
      <c r="E991" s="6" t="inlineStr">
        <is>
          <t>飞跃训练营</t>
        </is>
      </c>
      <c r="F991" s="7" t="n">
        <v>82800</v>
      </c>
      <c r="G991" s="7" t="n">
        <v>50700</v>
      </c>
      <c r="H991" s="7" t="n">
        <v>32100</v>
      </c>
      <c r="I991" s="8" t="n">
        <v>0.3876811594202899</v>
      </c>
    </row>
    <row r="992">
      <c r="A992" s="6" t="inlineStr">
        <is>
          <t>2025-10</t>
        </is>
      </c>
      <c r="B992" s="6" t="inlineStr">
        <is>
          <t>智能穿戴</t>
        </is>
      </c>
      <c r="C992" s="6" t="inlineStr">
        <is>
          <t>华南</t>
        </is>
      </c>
      <c r="D992" s="6" t="inlineStr">
        <is>
          <t>张伟</t>
        </is>
      </c>
      <c r="E992" s="6" t="inlineStr">
        <is>
          <t>领跑体育</t>
        </is>
      </c>
      <c r="F992" s="7" t="n">
        <v>81000</v>
      </c>
      <c r="G992" s="7" t="n">
        <v>49500</v>
      </c>
      <c r="H992" s="7" t="n">
        <v>31500</v>
      </c>
      <c r="I992" s="8" t="n">
        <v>0.3888888888888889</v>
      </c>
    </row>
    <row r="993">
      <c r="A993" s="6" t="inlineStr">
        <is>
          <t>2025-10</t>
        </is>
      </c>
      <c r="B993" s="6" t="inlineStr">
        <is>
          <t>智能穿戴</t>
        </is>
      </c>
      <c r="C993" s="6" t="inlineStr">
        <is>
          <t>华南</t>
        </is>
      </c>
      <c r="D993" s="6" t="inlineStr">
        <is>
          <t>李娜</t>
        </is>
      </c>
      <c r="E993" s="6" t="inlineStr">
        <is>
          <t>童行运动馆</t>
        </is>
      </c>
      <c r="F993" s="7" t="n">
        <v>90300</v>
      </c>
      <c r="G993" s="7" t="n">
        <v>58000</v>
      </c>
      <c r="H993" s="7" t="n">
        <v>32300</v>
      </c>
      <c r="I993" s="8" t="n">
        <v>0.3576965669988926</v>
      </c>
    </row>
    <row r="994">
      <c r="A994" s="6" t="inlineStr">
        <is>
          <t>2025-10</t>
        </is>
      </c>
      <c r="B994" s="6" t="inlineStr">
        <is>
          <t>智能穿戴</t>
        </is>
      </c>
      <c r="C994" s="6" t="inlineStr">
        <is>
          <t>华南</t>
        </is>
      </c>
      <c r="D994" s="6" t="inlineStr">
        <is>
          <t>王芳</t>
        </is>
      </c>
      <c r="E994" s="6" t="inlineStr">
        <is>
          <t>阳光体能</t>
        </is>
      </c>
      <c r="F994" s="7" t="n">
        <v>99500</v>
      </c>
      <c r="G994" s="7" t="n">
        <v>63700</v>
      </c>
      <c r="H994" s="7" t="n">
        <v>35800</v>
      </c>
      <c r="I994" s="8" t="n">
        <v>0.3597989949748744</v>
      </c>
    </row>
    <row r="995">
      <c r="A995" s="6" t="inlineStr">
        <is>
          <t>2025-10</t>
        </is>
      </c>
      <c r="B995" s="6" t="inlineStr">
        <is>
          <t>智能穿戴</t>
        </is>
      </c>
      <c r="C995" s="6" t="inlineStr">
        <is>
          <t>华南</t>
        </is>
      </c>
      <c r="D995" s="6" t="inlineStr">
        <is>
          <t>刘强</t>
        </is>
      </c>
      <c r="E995" s="6" t="inlineStr">
        <is>
          <t>巅峰运动</t>
        </is>
      </c>
      <c r="F995" s="7" t="n">
        <v>91400</v>
      </c>
      <c r="G995" s="7" t="n">
        <v>58600</v>
      </c>
      <c r="H995" s="7" t="n">
        <v>32800</v>
      </c>
      <c r="I995" s="8" t="n">
        <v>0.3588621444201313</v>
      </c>
    </row>
    <row r="996">
      <c r="A996" s="6" t="inlineStr">
        <is>
          <t>2025-10</t>
        </is>
      </c>
      <c r="B996" s="6" t="inlineStr">
        <is>
          <t>智能穿戴</t>
        </is>
      </c>
      <c r="C996" s="6" t="inlineStr">
        <is>
          <t>华南</t>
        </is>
      </c>
      <c r="D996" s="6" t="inlineStr">
        <is>
          <t>陈静</t>
        </is>
      </c>
      <c r="E996" s="6" t="inlineStr">
        <is>
          <t>恒康营养</t>
        </is>
      </c>
      <c r="F996" s="7" t="n">
        <v>83000</v>
      </c>
      <c r="G996" s="7" t="n">
        <v>50800</v>
      </c>
      <c r="H996" s="7" t="n">
        <v>32200</v>
      </c>
      <c r="I996" s="8" t="n">
        <v>0.3879518072289156</v>
      </c>
    </row>
    <row r="997">
      <c r="A997" s="6" t="inlineStr">
        <is>
          <t>2025-10</t>
        </is>
      </c>
      <c r="B997" s="6" t="inlineStr">
        <is>
          <t>智能穿戴</t>
        </is>
      </c>
      <c r="C997" s="6" t="inlineStr">
        <is>
          <t>西部</t>
        </is>
      </c>
      <c r="D997" s="6" t="inlineStr">
        <is>
          <t>张伟</t>
        </is>
      </c>
      <c r="E997" s="6" t="inlineStr">
        <is>
          <t>跃动少儿运动馆</t>
        </is>
      </c>
      <c r="F997" s="7" t="n">
        <v>47900</v>
      </c>
      <c r="G997" s="7" t="n">
        <v>30800</v>
      </c>
      <c r="H997" s="7" t="n">
        <v>17100</v>
      </c>
      <c r="I997" s="8" t="n">
        <v>0.3569937369519833</v>
      </c>
    </row>
    <row r="998">
      <c r="A998" s="6" t="inlineStr">
        <is>
          <t>2025-10</t>
        </is>
      </c>
      <c r="B998" s="6" t="inlineStr">
        <is>
          <t>智能穿戴</t>
        </is>
      </c>
      <c r="C998" s="6" t="inlineStr">
        <is>
          <t>西部</t>
        </is>
      </c>
      <c r="D998" s="6" t="inlineStr">
        <is>
          <t>李娜</t>
        </is>
      </c>
      <c r="E998" s="6" t="inlineStr">
        <is>
          <t>阳光体能</t>
        </is>
      </c>
      <c r="F998" s="7" t="n">
        <v>65200</v>
      </c>
      <c r="G998" s="7" t="n">
        <v>40000</v>
      </c>
      <c r="H998" s="7" t="n">
        <v>25200</v>
      </c>
      <c r="I998" s="8" t="n">
        <v>0.3865030674846626</v>
      </c>
    </row>
    <row r="999">
      <c r="A999" s="6" t="inlineStr">
        <is>
          <t>2025-10</t>
        </is>
      </c>
      <c r="B999" s="6" t="inlineStr">
        <is>
          <t>智能穿戴</t>
        </is>
      </c>
      <c r="C999" s="6" t="inlineStr">
        <is>
          <t>西部</t>
        </is>
      </c>
      <c r="D999" s="6" t="inlineStr">
        <is>
          <t>王芳</t>
        </is>
      </c>
      <c r="E999" s="6" t="inlineStr">
        <is>
          <t>天天向上健身</t>
        </is>
      </c>
      <c r="F999" s="7" t="n">
        <v>52700</v>
      </c>
      <c r="G999" s="7" t="n">
        <v>31700</v>
      </c>
      <c r="H999" s="7" t="n">
        <v>21000</v>
      </c>
      <c r="I999" s="8" t="n">
        <v>0.3984819734345351</v>
      </c>
    </row>
    <row r="1000">
      <c r="A1000" s="6" t="inlineStr">
        <is>
          <t>2025-10</t>
        </is>
      </c>
      <c r="B1000" s="6" t="inlineStr">
        <is>
          <t>智能穿戴</t>
        </is>
      </c>
      <c r="C1000" s="6" t="inlineStr">
        <is>
          <t>西部</t>
        </is>
      </c>
      <c r="D1000" s="6" t="inlineStr">
        <is>
          <t>刘强</t>
        </is>
      </c>
      <c r="E1000" s="6" t="inlineStr">
        <is>
          <t>锋行体育</t>
        </is>
      </c>
      <c r="F1000" s="7" t="n">
        <v>50300</v>
      </c>
      <c r="G1000" s="7" t="n">
        <v>31900</v>
      </c>
      <c r="H1000" s="7" t="n">
        <v>18400</v>
      </c>
      <c r="I1000" s="8" t="n">
        <v>0.3658051689860835</v>
      </c>
    </row>
    <row r="1001">
      <c r="A1001" s="6" t="inlineStr">
        <is>
          <t>2025-10</t>
        </is>
      </c>
      <c r="B1001" s="6" t="inlineStr">
        <is>
          <t>智能穿戴</t>
        </is>
      </c>
      <c r="C1001" s="6" t="inlineStr">
        <is>
          <t>西部</t>
        </is>
      </c>
      <c r="D1001" s="6" t="inlineStr">
        <is>
          <t>陈静</t>
        </is>
      </c>
      <c r="E1001" s="6" t="inlineStr">
        <is>
          <t>乐动体育</t>
        </is>
      </c>
      <c r="F1001" s="7" t="n">
        <v>54800</v>
      </c>
      <c r="G1001" s="7" t="n">
        <v>35300</v>
      </c>
      <c r="H1001" s="7" t="n">
        <v>19500</v>
      </c>
      <c r="I1001" s="8" t="n">
        <v>0.3558394160583941</v>
      </c>
    </row>
    <row r="1002">
      <c r="A1002" s="6" t="inlineStr">
        <is>
          <t>2025-11</t>
        </is>
      </c>
      <c r="B1002" s="6" t="inlineStr">
        <is>
          <t>篮球装备</t>
        </is>
      </c>
      <c r="C1002" s="6" t="inlineStr">
        <is>
          <t>华东</t>
        </is>
      </c>
      <c r="D1002" s="6" t="inlineStr">
        <is>
          <t>张伟</t>
        </is>
      </c>
      <c r="E1002" s="6" t="inlineStr">
        <is>
          <t>小飞侠运动俱乐部</t>
        </is>
      </c>
      <c r="F1002" s="7" t="n">
        <v>145200</v>
      </c>
      <c r="G1002" s="7" t="n">
        <v>91500</v>
      </c>
      <c r="H1002" s="7" t="n">
        <v>53700</v>
      </c>
      <c r="I1002" s="8" t="n">
        <v>0.3698347107438016</v>
      </c>
    </row>
    <row r="1003">
      <c r="A1003" s="6" t="inlineStr">
        <is>
          <t>2025-11</t>
        </is>
      </c>
      <c r="B1003" s="6" t="inlineStr">
        <is>
          <t>篮球装备</t>
        </is>
      </c>
      <c r="C1003" s="6" t="inlineStr">
        <is>
          <t>华东</t>
        </is>
      </c>
      <c r="D1003" s="6" t="inlineStr">
        <is>
          <t>李娜</t>
        </is>
      </c>
      <c r="E1003" s="6" t="inlineStr">
        <is>
          <t>启航健身中心</t>
        </is>
      </c>
      <c r="F1003" s="7" t="n">
        <v>135300</v>
      </c>
      <c r="G1003" s="7" t="n">
        <v>90500</v>
      </c>
      <c r="H1003" s="7" t="n">
        <v>44800</v>
      </c>
      <c r="I1003" s="8" t="n">
        <v>0.3311160384331116</v>
      </c>
    </row>
    <row r="1004">
      <c r="A1004" s="6" t="inlineStr">
        <is>
          <t>2025-11</t>
        </is>
      </c>
      <c r="B1004" s="6" t="inlineStr">
        <is>
          <t>篮球装备</t>
        </is>
      </c>
      <c r="C1004" s="6" t="inlineStr">
        <is>
          <t>华东</t>
        </is>
      </c>
      <c r="D1004" s="6" t="inlineStr">
        <is>
          <t>王芳</t>
        </is>
      </c>
      <c r="E1004" s="6" t="inlineStr">
        <is>
          <t>优加体能中心</t>
        </is>
      </c>
      <c r="F1004" s="7" t="n">
        <v>152800</v>
      </c>
      <c r="G1004" s="7" t="n">
        <v>95900</v>
      </c>
      <c r="H1004" s="7" t="n">
        <v>56900</v>
      </c>
      <c r="I1004" s="8" t="n">
        <v>0.3723821989528796</v>
      </c>
    </row>
    <row r="1005">
      <c r="A1005" s="6" t="inlineStr">
        <is>
          <t>2025-11</t>
        </is>
      </c>
      <c r="B1005" s="6" t="inlineStr">
        <is>
          <t>篮球装备</t>
        </is>
      </c>
      <c r="C1005" s="6" t="inlineStr">
        <is>
          <t>华东</t>
        </is>
      </c>
      <c r="D1005" s="6" t="inlineStr">
        <is>
          <t>刘强</t>
        </is>
      </c>
      <c r="E1005" s="6" t="inlineStr">
        <is>
          <t>环宇体育</t>
        </is>
      </c>
      <c r="F1005" s="7" t="n">
        <v>109900</v>
      </c>
      <c r="G1005" s="7" t="n">
        <v>69100</v>
      </c>
      <c r="H1005" s="7" t="n">
        <v>40800</v>
      </c>
      <c r="I1005" s="8" t="n">
        <v>0.3712465878070974</v>
      </c>
    </row>
    <row r="1006">
      <c r="A1006" s="6" t="inlineStr">
        <is>
          <t>2025-11</t>
        </is>
      </c>
      <c r="B1006" s="6" t="inlineStr">
        <is>
          <t>篮球装备</t>
        </is>
      </c>
      <c r="C1006" s="6" t="inlineStr">
        <is>
          <t>华东</t>
        </is>
      </c>
      <c r="D1006" s="6" t="inlineStr">
        <is>
          <t>陈静</t>
        </is>
      </c>
      <c r="E1006" s="6" t="inlineStr">
        <is>
          <t>活力无限健身</t>
        </is>
      </c>
      <c r="F1006" s="7" t="n">
        <v>114900</v>
      </c>
      <c r="G1006" s="7" t="n">
        <v>71500</v>
      </c>
      <c r="H1006" s="7" t="n">
        <v>43400</v>
      </c>
      <c r="I1006" s="8" t="n">
        <v>0.3777197563098346</v>
      </c>
    </row>
    <row r="1007">
      <c r="A1007" s="6" t="inlineStr">
        <is>
          <t>2025-11</t>
        </is>
      </c>
      <c r="B1007" s="6" t="inlineStr">
        <is>
          <t>篮球装备</t>
        </is>
      </c>
      <c r="C1007" s="6" t="inlineStr">
        <is>
          <t>华北</t>
        </is>
      </c>
      <c r="D1007" s="6" t="inlineStr">
        <is>
          <t>张伟</t>
        </is>
      </c>
      <c r="E1007" s="6" t="inlineStr">
        <is>
          <t>阳光体能</t>
        </is>
      </c>
      <c r="F1007" s="7" t="n">
        <v>106500</v>
      </c>
      <c r="G1007" s="7" t="n">
        <v>68700</v>
      </c>
      <c r="H1007" s="7" t="n">
        <v>37800</v>
      </c>
      <c r="I1007" s="8" t="n">
        <v>0.3549295774647888</v>
      </c>
    </row>
    <row r="1008">
      <c r="A1008" s="6" t="inlineStr">
        <is>
          <t>2025-11</t>
        </is>
      </c>
      <c r="B1008" s="6" t="inlineStr">
        <is>
          <t>篮球装备</t>
        </is>
      </c>
      <c r="C1008" s="6" t="inlineStr">
        <is>
          <t>华北</t>
        </is>
      </c>
      <c r="D1008" s="6" t="inlineStr">
        <is>
          <t>李娜</t>
        </is>
      </c>
      <c r="E1008" s="6" t="inlineStr">
        <is>
          <t>篮途体育文化</t>
        </is>
      </c>
      <c r="F1008" s="7" t="n">
        <v>97900</v>
      </c>
      <c r="G1008" s="7" t="n">
        <v>65500</v>
      </c>
      <c r="H1008" s="7" t="n">
        <v>32400</v>
      </c>
      <c r="I1008" s="8" t="n">
        <v>0.330949948927477</v>
      </c>
    </row>
    <row r="1009">
      <c r="A1009" s="6" t="inlineStr">
        <is>
          <t>2025-11</t>
        </is>
      </c>
      <c r="B1009" s="6" t="inlineStr">
        <is>
          <t>篮球装备</t>
        </is>
      </c>
      <c r="C1009" s="6" t="inlineStr">
        <is>
          <t>华北</t>
        </is>
      </c>
      <c r="D1009" s="6" t="inlineStr">
        <is>
          <t>王芳</t>
        </is>
      </c>
      <c r="E1009" s="6" t="inlineStr">
        <is>
          <t>活力无限健身</t>
        </is>
      </c>
      <c r="F1009" s="7" t="n">
        <v>110900</v>
      </c>
      <c r="G1009" s="7" t="n">
        <v>69500</v>
      </c>
      <c r="H1009" s="7" t="n">
        <v>41400</v>
      </c>
      <c r="I1009" s="8" t="n">
        <v>0.3733092876465284</v>
      </c>
    </row>
    <row r="1010">
      <c r="A1010" s="6" t="inlineStr">
        <is>
          <t>2025-11</t>
        </is>
      </c>
      <c r="B1010" s="6" t="inlineStr">
        <is>
          <t>篮球装备</t>
        </is>
      </c>
      <c r="C1010" s="6" t="inlineStr">
        <is>
          <t>华北</t>
        </is>
      </c>
      <c r="D1010" s="6" t="inlineStr">
        <is>
          <t>刘强</t>
        </is>
      </c>
      <c r="E1010" s="6" t="inlineStr">
        <is>
          <t>极客穿戴</t>
        </is>
      </c>
      <c r="F1010" s="7" t="n">
        <v>101000</v>
      </c>
      <c r="G1010" s="7" t="n">
        <v>65800</v>
      </c>
      <c r="H1010" s="7" t="n">
        <v>35200</v>
      </c>
      <c r="I1010" s="8" t="n">
        <v>0.3485148514851485</v>
      </c>
    </row>
    <row r="1011">
      <c r="A1011" s="6" t="inlineStr">
        <is>
          <t>2025-11</t>
        </is>
      </c>
      <c r="B1011" s="6" t="inlineStr">
        <is>
          <t>篮球装备</t>
        </is>
      </c>
      <c r="C1011" s="6" t="inlineStr">
        <is>
          <t>华北</t>
        </is>
      </c>
      <c r="D1011" s="6" t="inlineStr">
        <is>
          <t>陈静</t>
        </is>
      </c>
      <c r="E1011" s="6" t="inlineStr">
        <is>
          <t>康威运动商城</t>
        </is>
      </c>
      <c r="F1011" s="7" t="n">
        <v>86900</v>
      </c>
      <c r="G1011" s="7" t="n">
        <v>54900</v>
      </c>
      <c r="H1011" s="7" t="n">
        <v>32000</v>
      </c>
      <c r="I1011" s="8" t="n">
        <v>0.3682393555811277</v>
      </c>
    </row>
    <row r="1012">
      <c r="A1012" s="6" t="inlineStr">
        <is>
          <t>2025-11</t>
        </is>
      </c>
      <c r="B1012" s="6" t="inlineStr">
        <is>
          <t>篮球装备</t>
        </is>
      </c>
      <c r="C1012" s="6" t="inlineStr">
        <is>
          <t>华南</t>
        </is>
      </c>
      <c r="D1012" s="6" t="inlineStr">
        <is>
          <t>张伟</t>
        </is>
      </c>
      <c r="E1012" s="6" t="inlineStr">
        <is>
          <t>茁长少儿体适能</t>
        </is>
      </c>
      <c r="F1012" s="7" t="n">
        <v>118000</v>
      </c>
      <c r="G1012" s="7" t="n">
        <v>77200</v>
      </c>
      <c r="H1012" s="7" t="n">
        <v>40800</v>
      </c>
      <c r="I1012" s="8" t="n">
        <v>0.3457627118644068</v>
      </c>
    </row>
    <row r="1013">
      <c r="A1013" s="6" t="inlineStr">
        <is>
          <t>2025-11</t>
        </is>
      </c>
      <c r="B1013" s="6" t="inlineStr">
        <is>
          <t>篮球装备</t>
        </is>
      </c>
      <c r="C1013" s="6" t="inlineStr">
        <is>
          <t>华南</t>
        </is>
      </c>
      <c r="D1013" s="6" t="inlineStr">
        <is>
          <t>李娜</t>
        </is>
      </c>
      <c r="E1013" s="6" t="inlineStr">
        <is>
          <t>强体体育</t>
        </is>
      </c>
      <c r="F1013" s="7" t="n">
        <v>121100</v>
      </c>
      <c r="G1013" s="7" t="n">
        <v>81900</v>
      </c>
      <c r="H1013" s="7" t="n">
        <v>39200</v>
      </c>
      <c r="I1013" s="8" t="n">
        <v>0.3236994219653179</v>
      </c>
    </row>
    <row r="1014">
      <c r="A1014" s="6" t="inlineStr">
        <is>
          <t>2025-11</t>
        </is>
      </c>
      <c r="B1014" s="6" t="inlineStr">
        <is>
          <t>篮球装备</t>
        </is>
      </c>
      <c r="C1014" s="6" t="inlineStr">
        <is>
          <t>华南</t>
        </is>
      </c>
      <c r="D1014" s="6" t="inlineStr">
        <is>
          <t>王芳</t>
        </is>
      </c>
      <c r="E1014" s="6" t="inlineStr">
        <is>
          <t>腾飞体育用品</t>
        </is>
      </c>
      <c r="F1014" s="7" t="n">
        <v>129700</v>
      </c>
      <c r="G1014" s="7" t="n">
        <v>86000</v>
      </c>
      <c r="H1014" s="7" t="n">
        <v>43700</v>
      </c>
      <c r="I1014" s="8" t="n">
        <v>0.3369313801079414</v>
      </c>
    </row>
    <row r="1015">
      <c r="A1015" s="6" t="inlineStr">
        <is>
          <t>2025-11</t>
        </is>
      </c>
      <c r="B1015" s="6" t="inlineStr">
        <is>
          <t>篮球装备</t>
        </is>
      </c>
      <c r="C1015" s="6" t="inlineStr">
        <is>
          <t>华南</t>
        </is>
      </c>
      <c r="D1015" s="6" t="inlineStr">
        <is>
          <t>刘强</t>
        </is>
      </c>
      <c r="E1015" s="6" t="inlineStr">
        <is>
          <t>风尚健身</t>
        </is>
      </c>
      <c r="F1015" s="7" t="n">
        <v>120800</v>
      </c>
      <c r="G1015" s="7" t="n">
        <v>74900</v>
      </c>
      <c r="H1015" s="7" t="n">
        <v>45900</v>
      </c>
      <c r="I1015" s="8" t="n">
        <v>0.3799668874172186</v>
      </c>
    </row>
    <row r="1016">
      <c r="A1016" s="6" t="inlineStr">
        <is>
          <t>2025-11</t>
        </is>
      </c>
      <c r="B1016" s="6" t="inlineStr">
        <is>
          <t>篮球装备</t>
        </is>
      </c>
      <c r="C1016" s="6" t="inlineStr">
        <is>
          <t>华南</t>
        </is>
      </c>
      <c r="D1016" s="6" t="inlineStr">
        <is>
          <t>陈静</t>
        </is>
      </c>
      <c r="E1016" s="6" t="inlineStr">
        <is>
          <t>冠军之路俱乐部</t>
        </is>
      </c>
      <c r="F1016" s="7" t="n">
        <v>107900</v>
      </c>
      <c r="G1016" s="7" t="n">
        <v>67800</v>
      </c>
      <c r="H1016" s="7" t="n">
        <v>40100</v>
      </c>
      <c r="I1016" s="8" t="n">
        <v>0.3716404077849861</v>
      </c>
    </row>
    <row r="1017">
      <c r="A1017" s="6" t="inlineStr">
        <is>
          <t>2025-11</t>
        </is>
      </c>
      <c r="B1017" s="6" t="inlineStr">
        <is>
          <t>篮球装备</t>
        </is>
      </c>
      <c r="C1017" s="6" t="inlineStr">
        <is>
          <t>西部</t>
        </is>
      </c>
      <c r="D1017" s="6" t="inlineStr">
        <is>
          <t>张伟</t>
        </is>
      </c>
      <c r="E1017" s="6" t="inlineStr">
        <is>
          <t>小飞侠运动俱乐部</t>
        </is>
      </c>
      <c r="F1017" s="7" t="n">
        <v>66800</v>
      </c>
      <c r="G1017" s="7" t="n">
        <v>44900</v>
      </c>
      <c r="H1017" s="7" t="n">
        <v>21900</v>
      </c>
      <c r="I1017" s="8" t="n">
        <v>0.3278443113772455</v>
      </c>
    </row>
    <row r="1018">
      <c r="A1018" s="6" t="inlineStr">
        <is>
          <t>2025-11</t>
        </is>
      </c>
      <c r="B1018" s="6" t="inlineStr">
        <is>
          <t>篮球装备</t>
        </is>
      </c>
      <c r="C1018" s="6" t="inlineStr">
        <is>
          <t>西部</t>
        </is>
      </c>
      <c r="D1018" s="6" t="inlineStr">
        <is>
          <t>李娜</t>
        </is>
      </c>
      <c r="E1018" s="6" t="inlineStr">
        <is>
          <t>雷霆篮球</t>
        </is>
      </c>
      <c r="F1018" s="7" t="n">
        <v>80700</v>
      </c>
      <c r="G1018" s="7" t="n">
        <v>51600</v>
      </c>
      <c r="H1018" s="7" t="n">
        <v>29100</v>
      </c>
      <c r="I1018" s="8" t="n">
        <v>0.3605947955390335</v>
      </c>
    </row>
    <row r="1019">
      <c r="A1019" s="6" t="inlineStr">
        <is>
          <t>2025-11</t>
        </is>
      </c>
      <c r="B1019" s="6" t="inlineStr">
        <is>
          <t>篮球装备</t>
        </is>
      </c>
      <c r="C1019" s="6" t="inlineStr">
        <is>
          <t>西部</t>
        </is>
      </c>
      <c r="D1019" s="6" t="inlineStr">
        <is>
          <t>王芳</t>
        </is>
      </c>
      <c r="E1019" s="6" t="inlineStr">
        <is>
          <t>纵横运动</t>
        </is>
      </c>
      <c r="F1019" s="7" t="n">
        <v>71100</v>
      </c>
      <c r="G1019" s="7" t="n">
        <v>45200</v>
      </c>
      <c r="H1019" s="7" t="n">
        <v>25900</v>
      </c>
      <c r="I1019" s="8" t="n">
        <v>0.3642756680731364</v>
      </c>
    </row>
    <row r="1020">
      <c r="A1020" s="6" t="inlineStr">
        <is>
          <t>2025-11</t>
        </is>
      </c>
      <c r="B1020" s="6" t="inlineStr">
        <is>
          <t>篮球装备</t>
        </is>
      </c>
      <c r="C1020" s="6" t="inlineStr">
        <is>
          <t>西部</t>
        </is>
      </c>
      <c r="D1020" s="6" t="inlineStr">
        <is>
          <t>刘强</t>
        </is>
      </c>
      <c r="E1020" s="6" t="inlineStr">
        <is>
          <t>乐动体育</t>
        </is>
      </c>
      <c r="F1020" s="7" t="n">
        <v>72300</v>
      </c>
      <c r="G1020" s="7" t="n">
        <v>48400</v>
      </c>
      <c r="H1020" s="7" t="n">
        <v>23900</v>
      </c>
      <c r="I1020" s="8" t="n">
        <v>0.330567081604426</v>
      </c>
    </row>
    <row r="1021">
      <c r="A1021" s="6" t="inlineStr">
        <is>
          <t>2025-11</t>
        </is>
      </c>
      <c r="B1021" s="6" t="inlineStr">
        <is>
          <t>篮球装备</t>
        </is>
      </c>
      <c r="C1021" s="6" t="inlineStr">
        <is>
          <t>西部</t>
        </is>
      </c>
      <c r="D1021" s="6" t="inlineStr">
        <is>
          <t>陈静</t>
        </is>
      </c>
      <c r="E1021" s="6" t="inlineStr">
        <is>
          <t>环宇体育</t>
        </is>
      </c>
      <c r="F1021" s="7" t="n">
        <v>75500</v>
      </c>
      <c r="G1021" s="7" t="n">
        <v>50900</v>
      </c>
      <c r="H1021" s="7" t="n">
        <v>24600</v>
      </c>
      <c r="I1021" s="8" t="n">
        <v>0.3258278145695364</v>
      </c>
    </row>
    <row r="1022">
      <c r="A1022" s="6" t="inlineStr">
        <is>
          <t>2025-11</t>
        </is>
      </c>
      <c r="B1022" s="6" t="inlineStr">
        <is>
          <t>体适能器材</t>
        </is>
      </c>
      <c r="C1022" s="6" t="inlineStr">
        <is>
          <t>华东</t>
        </is>
      </c>
      <c r="D1022" s="6" t="inlineStr">
        <is>
          <t>张伟</t>
        </is>
      </c>
      <c r="E1022" s="6" t="inlineStr">
        <is>
          <t>环宇体育</t>
        </is>
      </c>
      <c r="F1022" s="7" t="n">
        <v>106000</v>
      </c>
      <c r="G1022" s="7" t="n">
        <v>73200</v>
      </c>
      <c r="H1022" s="7" t="n">
        <v>32800</v>
      </c>
      <c r="I1022" s="8" t="n">
        <v>0.3094339622641509</v>
      </c>
    </row>
    <row r="1023">
      <c r="A1023" s="6" t="inlineStr">
        <is>
          <t>2025-11</t>
        </is>
      </c>
      <c r="B1023" s="6" t="inlineStr">
        <is>
          <t>体适能器材</t>
        </is>
      </c>
      <c r="C1023" s="6" t="inlineStr">
        <is>
          <t>华东</t>
        </is>
      </c>
      <c r="D1023" s="6" t="inlineStr">
        <is>
          <t>李娜</t>
        </is>
      </c>
      <c r="E1023" s="6" t="inlineStr">
        <is>
          <t>智练体育</t>
        </is>
      </c>
      <c r="F1023" s="7" t="n">
        <v>96400</v>
      </c>
      <c r="G1023" s="7" t="n">
        <v>66200</v>
      </c>
      <c r="H1023" s="7" t="n">
        <v>30200</v>
      </c>
      <c r="I1023" s="8" t="n">
        <v>0.3132780082987552</v>
      </c>
    </row>
    <row r="1024">
      <c r="A1024" s="6" t="inlineStr">
        <is>
          <t>2025-11</t>
        </is>
      </c>
      <c r="B1024" s="6" t="inlineStr">
        <is>
          <t>体适能器材</t>
        </is>
      </c>
      <c r="C1024" s="6" t="inlineStr">
        <is>
          <t>华东</t>
        </is>
      </c>
      <c r="D1024" s="6" t="inlineStr">
        <is>
          <t>王芳</t>
        </is>
      </c>
      <c r="E1024" s="6" t="inlineStr">
        <is>
          <t>锋行体育</t>
        </is>
      </c>
      <c r="F1024" s="7" t="n">
        <v>101800</v>
      </c>
      <c r="G1024" s="7" t="n">
        <v>74100</v>
      </c>
      <c r="H1024" s="7" t="n">
        <v>27700</v>
      </c>
      <c r="I1024" s="8" t="n">
        <v>0.2721021611001965</v>
      </c>
    </row>
    <row r="1025">
      <c r="A1025" s="6" t="inlineStr">
        <is>
          <t>2025-11</t>
        </is>
      </c>
      <c r="B1025" s="6" t="inlineStr">
        <is>
          <t>体适能器材</t>
        </is>
      </c>
      <c r="C1025" s="6" t="inlineStr">
        <is>
          <t>华东</t>
        </is>
      </c>
      <c r="D1025" s="6" t="inlineStr">
        <is>
          <t>刘强</t>
        </is>
      </c>
      <c r="E1025" s="6" t="inlineStr">
        <is>
          <t>迈步体育</t>
        </is>
      </c>
      <c r="F1025" s="7" t="n">
        <v>82000</v>
      </c>
      <c r="G1025" s="7" t="n">
        <v>59600</v>
      </c>
      <c r="H1025" s="7" t="n">
        <v>22400</v>
      </c>
      <c r="I1025" s="8" t="n">
        <v>0.2731707317073171</v>
      </c>
    </row>
    <row r="1026">
      <c r="A1026" s="6" t="inlineStr">
        <is>
          <t>2025-11</t>
        </is>
      </c>
      <c r="B1026" s="6" t="inlineStr">
        <is>
          <t>体适能器材</t>
        </is>
      </c>
      <c r="C1026" s="6" t="inlineStr">
        <is>
          <t>华东</t>
        </is>
      </c>
      <c r="D1026" s="6" t="inlineStr">
        <is>
          <t>陈静</t>
        </is>
      </c>
      <c r="E1026" s="6" t="inlineStr">
        <is>
          <t>乐动体育</t>
        </is>
      </c>
      <c r="F1026" s="7" t="n">
        <v>85500</v>
      </c>
      <c r="G1026" s="7" t="n">
        <v>60200</v>
      </c>
      <c r="H1026" s="7" t="n">
        <v>25300</v>
      </c>
      <c r="I1026" s="8" t="n">
        <v>0.295906432748538</v>
      </c>
    </row>
    <row r="1027">
      <c r="A1027" s="6" t="inlineStr">
        <is>
          <t>2025-11</t>
        </is>
      </c>
      <c r="B1027" s="6" t="inlineStr">
        <is>
          <t>体适能器材</t>
        </is>
      </c>
      <c r="C1027" s="6" t="inlineStr">
        <is>
          <t>华北</t>
        </is>
      </c>
      <c r="D1027" s="6" t="inlineStr">
        <is>
          <t>张伟</t>
        </is>
      </c>
      <c r="E1027" s="6" t="inlineStr">
        <is>
          <t>领跑体育</t>
        </is>
      </c>
      <c r="F1027" s="7" t="n">
        <v>78400</v>
      </c>
      <c r="G1027" s="7" t="n">
        <v>53900</v>
      </c>
      <c r="H1027" s="7" t="n">
        <v>24500</v>
      </c>
      <c r="I1027" s="8" t="n">
        <v>0.3125</v>
      </c>
    </row>
    <row r="1028">
      <c r="A1028" s="6" t="inlineStr">
        <is>
          <t>2025-11</t>
        </is>
      </c>
      <c r="B1028" s="6" t="inlineStr">
        <is>
          <t>体适能器材</t>
        </is>
      </c>
      <c r="C1028" s="6" t="inlineStr">
        <is>
          <t>华北</t>
        </is>
      </c>
      <c r="D1028" s="6" t="inlineStr">
        <is>
          <t>李娜</t>
        </is>
      </c>
      <c r="E1028" s="6" t="inlineStr">
        <is>
          <t>乐动体育</t>
        </is>
      </c>
      <c r="F1028" s="7" t="n">
        <v>72900</v>
      </c>
      <c r="G1028" s="7" t="n">
        <v>52300</v>
      </c>
      <c r="H1028" s="7" t="n">
        <v>20600</v>
      </c>
      <c r="I1028" s="8" t="n">
        <v>0.2825788751714678</v>
      </c>
    </row>
    <row r="1029">
      <c r="A1029" s="6" t="inlineStr">
        <is>
          <t>2025-11</t>
        </is>
      </c>
      <c r="B1029" s="6" t="inlineStr">
        <is>
          <t>体适能器材</t>
        </is>
      </c>
      <c r="C1029" s="6" t="inlineStr">
        <is>
          <t>华北</t>
        </is>
      </c>
      <c r="D1029" s="6" t="inlineStr">
        <is>
          <t>王芳</t>
        </is>
      </c>
      <c r="E1029" s="6" t="inlineStr">
        <is>
          <t>风尚健身</t>
        </is>
      </c>
      <c r="F1029" s="7" t="n">
        <v>80800</v>
      </c>
      <c r="G1029" s="7" t="n">
        <v>58200</v>
      </c>
      <c r="H1029" s="7" t="n">
        <v>22600</v>
      </c>
      <c r="I1029" s="8" t="n">
        <v>0.2797029702970297</v>
      </c>
    </row>
    <row r="1030">
      <c r="A1030" s="6" t="inlineStr">
        <is>
          <t>2025-11</t>
        </is>
      </c>
      <c r="B1030" s="6" t="inlineStr">
        <is>
          <t>体适能器材</t>
        </is>
      </c>
      <c r="C1030" s="6" t="inlineStr">
        <is>
          <t>华北</t>
        </is>
      </c>
      <c r="D1030" s="6" t="inlineStr">
        <is>
          <t>刘强</t>
        </is>
      </c>
      <c r="E1030" s="6" t="inlineStr">
        <is>
          <t>锐动体育用品</t>
        </is>
      </c>
      <c r="F1030" s="7" t="n">
        <v>63000</v>
      </c>
      <c r="G1030" s="7" t="n">
        <v>44700</v>
      </c>
      <c r="H1030" s="7" t="n">
        <v>18300</v>
      </c>
      <c r="I1030" s="8" t="n">
        <v>0.2904761904761905</v>
      </c>
    </row>
    <row r="1031">
      <c r="A1031" s="6" t="inlineStr">
        <is>
          <t>2025-11</t>
        </is>
      </c>
      <c r="B1031" s="6" t="inlineStr">
        <is>
          <t>体适能器材</t>
        </is>
      </c>
      <c r="C1031" s="6" t="inlineStr">
        <is>
          <t>华北</t>
        </is>
      </c>
      <c r="D1031" s="6" t="inlineStr">
        <is>
          <t>陈静</t>
        </is>
      </c>
      <c r="E1031" s="6" t="inlineStr">
        <is>
          <t>篮途体育文化</t>
        </is>
      </c>
      <c r="F1031" s="7" t="n">
        <v>77500</v>
      </c>
      <c r="G1031" s="7" t="n">
        <v>52300</v>
      </c>
      <c r="H1031" s="7" t="n">
        <v>25200</v>
      </c>
      <c r="I1031" s="8" t="n">
        <v>0.3251612903225806</v>
      </c>
    </row>
    <row r="1032">
      <c r="A1032" s="6" t="inlineStr">
        <is>
          <t>2025-11</t>
        </is>
      </c>
      <c r="B1032" s="6" t="inlineStr">
        <is>
          <t>体适能器材</t>
        </is>
      </c>
      <c r="C1032" s="6" t="inlineStr">
        <is>
          <t>华南</t>
        </is>
      </c>
      <c r="D1032" s="6" t="inlineStr">
        <is>
          <t>张伟</t>
        </is>
      </c>
      <c r="E1032" s="6" t="inlineStr">
        <is>
          <t>智练体育</t>
        </is>
      </c>
      <c r="F1032" s="7" t="n">
        <v>97800</v>
      </c>
      <c r="G1032" s="7" t="n">
        <v>69600</v>
      </c>
      <c r="H1032" s="7" t="n">
        <v>28200</v>
      </c>
      <c r="I1032" s="8" t="n">
        <v>0.2883435582822086</v>
      </c>
    </row>
    <row r="1033">
      <c r="A1033" s="6" t="inlineStr">
        <is>
          <t>2025-11</t>
        </is>
      </c>
      <c r="B1033" s="6" t="inlineStr">
        <is>
          <t>体适能器材</t>
        </is>
      </c>
      <c r="C1033" s="6" t="inlineStr">
        <is>
          <t>华南</t>
        </is>
      </c>
      <c r="D1033" s="6" t="inlineStr">
        <is>
          <t>李娜</t>
        </is>
      </c>
      <c r="E1033" s="6" t="inlineStr">
        <is>
          <t>阳光体能</t>
        </is>
      </c>
      <c r="F1033" s="7" t="n">
        <v>100000</v>
      </c>
      <c r="G1033" s="7" t="n">
        <v>71400</v>
      </c>
      <c r="H1033" s="7" t="n">
        <v>28600</v>
      </c>
      <c r="I1033" s="8" t="n">
        <v>0.286</v>
      </c>
    </row>
    <row r="1034">
      <c r="A1034" s="6" t="inlineStr">
        <is>
          <t>2025-11</t>
        </is>
      </c>
      <c r="B1034" s="6" t="inlineStr">
        <is>
          <t>体适能器材</t>
        </is>
      </c>
      <c r="C1034" s="6" t="inlineStr">
        <is>
          <t>华南</t>
        </is>
      </c>
      <c r="D1034" s="6" t="inlineStr">
        <is>
          <t>王芳</t>
        </is>
      </c>
      <c r="E1034" s="6" t="inlineStr">
        <is>
          <t>冠军之路俱乐部</t>
        </is>
      </c>
      <c r="F1034" s="7" t="n">
        <v>93000</v>
      </c>
      <c r="G1034" s="7" t="n">
        <v>67600</v>
      </c>
      <c r="H1034" s="7" t="n">
        <v>25400</v>
      </c>
      <c r="I1034" s="8" t="n">
        <v>0.2731182795698925</v>
      </c>
    </row>
    <row r="1035">
      <c r="A1035" s="6" t="inlineStr">
        <is>
          <t>2025-11</t>
        </is>
      </c>
      <c r="B1035" s="6" t="inlineStr">
        <is>
          <t>体适能器材</t>
        </is>
      </c>
      <c r="C1035" s="6" t="inlineStr">
        <is>
          <t>华南</t>
        </is>
      </c>
      <c r="D1035" s="6" t="inlineStr">
        <is>
          <t>刘强</t>
        </is>
      </c>
      <c r="E1035" s="6" t="inlineStr">
        <is>
          <t>阳光体能</t>
        </is>
      </c>
      <c r="F1035" s="7" t="n">
        <v>88400</v>
      </c>
      <c r="G1035" s="7" t="n">
        <v>63800</v>
      </c>
      <c r="H1035" s="7" t="n">
        <v>24600</v>
      </c>
      <c r="I1035" s="8" t="n">
        <v>0.2782805429864253</v>
      </c>
    </row>
    <row r="1036">
      <c r="A1036" s="6" t="inlineStr">
        <is>
          <t>2025-11</t>
        </is>
      </c>
      <c r="B1036" s="6" t="inlineStr">
        <is>
          <t>体适能器材</t>
        </is>
      </c>
      <c r="C1036" s="6" t="inlineStr">
        <is>
          <t>华南</t>
        </is>
      </c>
      <c r="D1036" s="6" t="inlineStr">
        <is>
          <t>陈静</t>
        </is>
      </c>
      <c r="E1036" s="6" t="inlineStr">
        <is>
          <t>腾飞体育用品</t>
        </is>
      </c>
      <c r="F1036" s="7" t="n">
        <v>88100</v>
      </c>
      <c r="G1036" s="7" t="n">
        <v>60400</v>
      </c>
      <c r="H1036" s="7" t="n">
        <v>27700</v>
      </c>
      <c r="I1036" s="8" t="n">
        <v>0.3144154370034052</v>
      </c>
    </row>
    <row r="1037">
      <c r="A1037" s="6" t="inlineStr">
        <is>
          <t>2025-11</t>
        </is>
      </c>
      <c r="B1037" s="6" t="inlineStr">
        <is>
          <t>体适能器材</t>
        </is>
      </c>
      <c r="C1037" s="6" t="inlineStr">
        <is>
          <t>西部</t>
        </is>
      </c>
      <c r="D1037" s="6" t="inlineStr">
        <is>
          <t>张伟</t>
        </is>
      </c>
      <c r="E1037" s="6" t="inlineStr">
        <is>
          <t>跃动少儿运动馆</t>
        </is>
      </c>
      <c r="F1037" s="7" t="n">
        <v>49700</v>
      </c>
      <c r="G1037" s="7" t="n">
        <v>34400</v>
      </c>
      <c r="H1037" s="7" t="n">
        <v>15300</v>
      </c>
      <c r="I1037" s="8" t="n">
        <v>0.3078470824949698</v>
      </c>
    </row>
    <row r="1038">
      <c r="A1038" s="6" t="inlineStr">
        <is>
          <t>2025-11</t>
        </is>
      </c>
      <c r="B1038" s="6" t="inlineStr">
        <is>
          <t>体适能器材</t>
        </is>
      </c>
      <c r="C1038" s="6" t="inlineStr">
        <is>
          <t>西部</t>
        </is>
      </c>
      <c r="D1038" s="6" t="inlineStr">
        <is>
          <t>李娜</t>
        </is>
      </c>
      <c r="E1038" s="6" t="inlineStr">
        <is>
          <t>星跃体育</t>
        </is>
      </c>
      <c r="F1038" s="7" t="n">
        <v>47100</v>
      </c>
      <c r="G1038" s="7" t="n">
        <v>32900</v>
      </c>
      <c r="H1038" s="7" t="n">
        <v>14200</v>
      </c>
      <c r="I1038" s="8" t="n">
        <v>0.3014861995753715</v>
      </c>
    </row>
    <row r="1039">
      <c r="A1039" s="6" t="inlineStr">
        <is>
          <t>2025-11</t>
        </is>
      </c>
      <c r="B1039" s="6" t="inlineStr">
        <is>
          <t>体适能器材</t>
        </is>
      </c>
      <c r="C1039" s="6" t="inlineStr">
        <is>
          <t>西部</t>
        </is>
      </c>
      <c r="D1039" s="6" t="inlineStr">
        <is>
          <t>王芳</t>
        </is>
      </c>
      <c r="E1039" s="6" t="inlineStr">
        <is>
          <t>元气营养</t>
        </is>
      </c>
      <c r="F1039" s="7" t="n">
        <v>64000</v>
      </c>
      <c r="G1039" s="7" t="n">
        <v>44600</v>
      </c>
      <c r="H1039" s="7" t="n">
        <v>19400</v>
      </c>
      <c r="I1039" s="8" t="n">
        <v>0.303125</v>
      </c>
    </row>
    <row r="1040">
      <c r="A1040" s="6" t="inlineStr">
        <is>
          <t>2025-11</t>
        </is>
      </c>
      <c r="B1040" s="6" t="inlineStr">
        <is>
          <t>体适能器材</t>
        </is>
      </c>
      <c r="C1040" s="6" t="inlineStr">
        <is>
          <t>西部</t>
        </is>
      </c>
      <c r="D1040" s="6" t="inlineStr">
        <is>
          <t>刘强</t>
        </is>
      </c>
      <c r="E1040" s="6" t="inlineStr">
        <is>
          <t>悍将运动</t>
        </is>
      </c>
      <c r="F1040" s="7" t="n">
        <v>56000</v>
      </c>
      <c r="G1040" s="7" t="n">
        <v>38800</v>
      </c>
      <c r="H1040" s="7" t="n">
        <v>17200</v>
      </c>
      <c r="I1040" s="8" t="n">
        <v>0.3071428571428572</v>
      </c>
    </row>
    <row r="1041">
      <c r="A1041" s="6" t="inlineStr">
        <is>
          <t>2025-11</t>
        </is>
      </c>
      <c r="B1041" s="6" t="inlineStr">
        <is>
          <t>体适能器材</t>
        </is>
      </c>
      <c r="C1041" s="6" t="inlineStr">
        <is>
          <t>西部</t>
        </is>
      </c>
      <c r="D1041" s="6" t="inlineStr">
        <is>
          <t>陈静</t>
        </is>
      </c>
      <c r="E1041" s="6" t="inlineStr">
        <is>
          <t>锐健身工作室</t>
        </is>
      </c>
      <c r="F1041" s="7" t="n">
        <v>56900</v>
      </c>
      <c r="G1041" s="7" t="n">
        <v>40800</v>
      </c>
      <c r="H1041" s="7" t="n">
        <v>16100</v>
      </c>
      <c r="I1041" s="8" t="n">
        <v>0.2829525483304042</v>
      </c>
    </row>
    <row r="1042">
      <c r="A1042" s="6" t="inlineStr">
        <is>
          <t>2025-11</t>
        </is>
      </c>
      <c r="B1042" s="6" t="inlineStr">
        <is>
          <t>训练服饰</t>
        </is>
      </c>
      <c r="C1042" s="6" t="inlineStr">
        <is>
          <t>华东</t>
        </is>
      </c>
      <c r="D1042" s="6" t="inlineStr">
        <is>
          <t>张伟</t>
        </is>
      </c>
      <c r="E1042" s="6" t="inlineStr">
        <is>
          <t>乐动体育</t>
        </is>
      </c>
      <c r="F1042" s="7" t="n">
        <v>68100</v>
      </c>
      <c r="G1042" s="7" t="n">
        <v>37400</v>
      </c>
      <c r="H1042" s="7" t="n">
        <v>30700</v>
      </c>
      <c r="I1042" s="8" t="n">
        <v>0.4508076358296623</v>
      </c>
    </row>
    <row r="1043">
      <c r="A1043" s="6" t="inlineStr">
        <is>
          <t>2025-11</t>
        </is>
      </c>
      <c r="B1043" s="6" t="inlineStr">
        <is>
          <t>训练服饰</t>
        </is>
      </c>
      <c r="C1043" s="6" t="inlineStr">
        <is>
          <t>华东</t>
        </is>
      </c>
      <c r="D1043" s="6" t="inlineStr">
        <is>
          <t>李娜</t>
        </is>
      </c>
      <c r="E1043" s="6" t="inlineStr">
        <is>
          <t>篮途体育文化</t>
        </is>
      </c>
      <c r="F1043" s="7" t="n">
        <v>78400</v>
      </c>
      <c r="G1043" s="7" t="n">
        <v>43900</v>
      </c>
      <c r="H1043" s="7" t="n">
        <v>34500</v>
      </c>
      <c r="I1043" s="8" t="n">
        <v>0.4400510204081632</v>
      </c>
    </row>
    <row r="1044">
      <c r="A1044" s="6" t="inlineStr">
        <is>
          <t>2025-11</t>
        </is>
      </c>
      <c r="B1044" s="6" t="inlineStr">
        <is>
          <t>训练服饰</t>
        </is>
      </c>
      <c r="C1044" s="6" t="inlineStr">
        <is>
          <t>华东</t>
        </is>
      </c>
      <c r="D1044" s="6" t="inlineStr">
        <is>
          <t>王芳</t>
        </is>
      </c>
      <c r="E1044" s="6" t="inlineStr">
        <is>
          <t>小小运动家</t>
        </is>
      </c>
      <c r="F1044" s="7" t="n">
        <v>63200</v>
      </c>
      <c r="G1044" s="7" t="n">
        <v>33500</v>
      </c>
      <c r="H1044" s="7" t="n">
        <v>29700</v>
      </c>
      <c r="I1044" s="8" t="n">
        <v>0.4699367088607595</v>
      </c>
    </row>
    <row r="1045">
      <c r="A1045" s="6" t="inlineStr">
        <is>
          <t>2025-11</t>
        </is>
      </c>
      <c r="B1045" s="6" t="inlineStr">
        <is>
          <t>训练服饰</t>
        </is>
      </c>
      <c r="C1045" s="6" t="inlineStr">
        <is>
          <t>华东</t>
        </is>
      </c>
      <c r="D1045" s="6" t="inlineStr">
        <is>
          <t>刘强</t>
        </is>
      </c>
      <c r="E1045" s="6" t="inlineStr">
        <is>
          <t>元气营养</t>
        </is>
      </c>
      <c r="F1045" s="7" t="n">
        <v>70300</v>
      </c>
      <c r="G1045" s="7" t="n">
        <v>38100</v>
      </c>
      <c r="H1045" s="7" t="n">
        <v>32200</v>
      </c>
      <c r="I1045" s="8" t="n">
        <v>0.4580369843527738</v>
      </c>
    </row>
    <row r="1046">
      <c r="A1046" s="6" t="inlineStr">
        <is>
          <t>2025-11</t>
        </is>
      </c>
      <c r="B1046" s="6" t="inlineStr">
        <is>
          <t>训练服饰</t>
        </is>
      </c>
      <c r="C1046" s="6" t="inlineStr">
        <is>
          <t>华东</t>
        </is>
      </c>
      <c r="D1046" s="6" t="inlineStr">
        <is>
          <t>陈静</t>
        </is>
      </c>
      <c r="E1046" s="6" t="inlineStr">
        <is>
          <t>冠军之路俱乐部</t>
        </is>
      </c>
      <c r="F1046" s="7" t="n">
        <v>57500</v>
      </c>
      <c r="G1046" s="7" t="n">
        <v>31500</v>
      </c>
      <c r="H1046" s="7" t="n">
        <v>26000</v>
      </c>
      <c r="I1046" s="8" t="n">
        <v>0.4521739130434783</v>
      </c>
    </row>
    <row r="1047">
      <c r="A1047" s="6" t="inlineStr">
        <is>
          <t>2025-11</t>
        </is>
      </c>
      <c r="B1047" s="6" t="inlineStr">
        <is>
          <t>训练服饰</t>
        </is>
      </c>
      <c r="C1047" s="6" t="inlineStr">
        <is>
          <t>华北</t>
        </is>
      </c>
      <c r="D1047" s="6" t="inlineStr">
        <is>
          <t>张伟</t>
        </is>
      </c>
      <c r="E1047" s="6" t="inlineStr">
        <is>
          <t>篮途体育文化</t>
        </is>
      </c>
      <c r="F1047" s="7" t="n">
        <v>57200</v>
      </c>
      <c r="G1047" s="7" t="n">
        <v>32000</v>
      </c>
      <c r="H1047" s="7" t="n">
        <v>25200</v>
      </c>
      <c r="I1047" s="8" t="n">
        <v>0.4405594405594406</v>
      </c>
    </row>
    <row r="1048">
      <c r="A1048" s="6" t="inlineStr">
        <is>
          <t>2025-11</t>
        </is>
      </c>
      <c r="B1048" s="6" t="inlineStr">
        <is>
          <t>训练服饰</t>
        </is>
      </c>
      <c r="C1048" s="6" t="inlineStr">
        <is>
          <t>华北</t>
        </is>
      </c>
      <c r="D1048" s="6" t="inlineStr">
        <is>
          <t>李娜</t>
        </is>
      </c>
      <c r="E1048" s="6" t="inlineStr">
        <is>
          <t>阳光体能</t>
        </is>
      </c>
      <c r="F1048" s="7" t="n">
        <v>50700</v>
      </c>
      <c r="G1048" s="7" t="n">
        <v>28500</v>
      </c>
      <c r="H1048" s="7" t="n">
        <v>22200</v>
      </c>
      <c r="I1048" s="8" t="n">
        <v>0.4378698224852071</v>
      </c>
    </row>
    <row r="1049">
      <c r="A1049" s="6" t="inlineStr">
        <is>
          <t>2025-11</t>
        </is>
      </c>
      <c r="B1049" s="6" t="inlineStr">
        <is>
          <t>训练服饰</t>
        </is>
      </c>
      <c r="C1049" s="6" t="inlineStr">
        <is>
          <t>华北</t>
        </is>
      </c>
      <c r="D1049" s="6" t="inlineStr">
        <is>
          <t>王芳</t>
        </is>
      </c>
      <c r="E1049" s="6" t="inlineStr">
        <is>
          <t>巅峰运动</t>
        </is>
      </c>
      <c r="F1049" s="7" t="n">
        <v>51100</v>
      </c>
      <c r="G1049" s="7" t="n">
        <v>26600</v>
      </c>
      <c r="H1049" s="7" t="n">
        <v>24500</v>
      </c>
      <c r="I1049" s="8" t="n">
        <v>0.4794520547945205</v>
      </c>
    </row>
    <row r="1050">
      <c r="A1050" s="6" t="inlineStr">
        <is>
          <t>2025-11</t>
        </is>
      </c>
      <c r="B1050" s="6" t="inlineStr">
        <is>
          <t>训练服饰</t>
        </is>
      </c>
      <c r="C1050" s="6" t="inlineStr">
        <is>
          <t>华北</t>
        </is>
      </c>
      <c r="D1050" s="6" t="inlineStr">
        <is>
          <t>刘强</t>
        </is>
      </c>
      <c r="E1050" s="6" t="inlineStr">
        <is>
          <t>强体体育</t>
        </is>
      </c>
      <c r="F1050" s="7" t="n">
        <v>44000</v>
      </c>
      <c r="G1050" s="7" t="n">
        <v>23000</v>
      </c>
      <c r="H1050" s="7" t="n">
        <v>21000</v>
      </c>
      <c r="I1050" s="8" t="n">
        <v>0.4772727272727273</v>
      </c>
    </row>
    <row r="1051">
      <c r="A1051" s="6" t="inlineStr">
        <is>
          <t>2025-11</t>
        </is>
      </c>
      <c r="B1051" s="6" t="inlineStr">
        <is>
          <t>训练服饰</t>
        </is>
      </c>
      <c r="C1051" s="6" t="inlineStr">
        <is>
          <t>华北</t>
        </is>
      </c>
      <c r="D1051" s="6" t="inlineStr">
        <is>
          <t>陈静</t>
        </is>
      </c>
      <c r="E1051" s="6" t="inlineStr">
        <is>
          <t>锋行体育</t>
        </is>
      </c>
      <c r="F1051" s="7" t="n">
        <v>57600</v>
      </c>
      <c r="G1051" s="7" t="n">
        <v>32800</v>
      </c>
      <c r="H1051" s="7" t="n">
        <v>24800</v>
      </c>
      <c r="I1051" s="8" t="n">
        <v>0.4305555555555556</v>
      </c>
    </row>
    <row r="1052">
      <c r="A1052" s="6" t="inlineStr">
        <is>
          <t>2025-11</t>
        </is>
      </c>
      <c r="B1052" s="6" t="inlineStr">
        <is>
          <t>训练服饰</t>
        </is>
      </c>
      <c r="C1052" s="6" t="inlineStr">
        <is>
          <t>华南</t>
        </is>
      </c>
      <c r="D1052" s="6" t="inlineStr">
        <is>
          <t>张伟</t>
        </is>
      </c>
      <c r="E1052" s="6" t="inlineStr">
        <is>
          <t>冠军之路俱乐部</t>
        </is>
      </c>
      <c r="F1052" s="7" t="n">
        <v>52000</v>
      </c>
      <c r="G1052" s="7" t="n">
        <v>27400</v>
      </c>
      <c r="H1052" s="7" t="n">
        <v>24600</v>
      </c>
      <c r="I1052" s="8" t="n">
        <v>0.4730769230769231</v>
      </c>
    </row>
    <row r="1053">
      <c r="A1053" s="6" t="inlineStr">
        <is>
          <t>2025-11</t>
        </is>
      </c>
      <c r="B1053" s="6" t="inlineStr">
        <is>
          <t>训练服饰</t>
        </is>
      </c>
      <c r="C1053" s="6" t="inlineStr">
        <is>
          <t>华南</t>
        </is>
      </c>
      <c r="D1053" s="6" t="inlineStr">
        <is>
          <t>李娜</t>
        </is>
      </c>
      <c r="E1053" s="6" t="inlineStr">
        <is>
          <t>恒康营养</t>
        </is>
      </c>
      <c r="F1053" s="7" t="n">
        <v>51500</v>
      </c>
      <c r="G1053" s="7" t="n">
        <v>27700</v>
      </c>
      <c r="H1053" s="7" t="n">
        <v>23800</v>
      </c>
      <c r="I1053" s="8" t="n">
        <v>0.4621359223300971</v>
      </c>
    </row>
    <row r="1054">
      <c r="A1054" s="6" t="inlineStr">
        <is>
          <t>2025-11</t>
        </is>
      </c>
      <c r="B1054" s="6" t="inlineStr">
        <is>
          <t>训练服饰</t>
        </is>
      </c>
      <c r="C1054" s="6" t="inlineStr">
        <is>
          <t>华南</t>
        </is>
      </c>
      <c r="D1054" s="6" t="inlineStr">
        <is>
          <t>王芳</t>
        </is>
      </c>
      <c r="E1054" s="6" t="inlineStr">
        <is>
          <t>风尚健身</t>
        </is>
      </c>
      <c r="F1054" s="7" t="n">
        <v>67500</v>
      </c>
      <c r="G1054" s="7" t="n">
        <v>38400</v>
      </c>
      <c r="H1054" s="7" t="n">
        <v>29100</v>
      </c>
      <c r="I1054" s="8" t="n">
        <v>0.4311111111111111</v>
      </c>
    </row>
    <row r="1055">
      <c r="A1055" s="6" t="inlineStr">
        <is>
          <t>2025-11</t>
        </is>
      </c>
      <c r="B1055" s="6" t="inlineStr">
        <is>
          <t>训练服饰</t>
        </is>
      </c>
      <c r="C1055" s="6" t="inlineStr">
        <is>
          <t>华南</t>
        </is>
      </c>
      <c r="D1055" s="6" t="inlineStr">
        <is>
          <t>刘强</t>
        </is>
      </c>
      <c r="E1055" s="6" t="inlineStr">
        <is>
          <t>跃动少儿运动馆</t>
        </is>
      </c>
      <c r="F1055" s="7" t="n">
        <v>57500</v>
      </c>
      <c r="G1055" s="7" t="n">
        <v>30200</v>
      </c>
      <c r="H1055" s="7" t="n">
        <v>27300</v>
      </c>
      <c r="I1055" s="8" t="n">
        <v>0.4747826086956522</v>
      </c>
    </row>
    <row r="1056">
      <c r="A1056" s="6" t="inlineStr">
        <is>
          <t>2025-11</t>
        </is>
      </c>
      <c r="B1056" s="6" t="inlineStr">
        <is>
          <t>训练服饰</t>
        </is>
      </c>
      <c r="C1056" s="6" t="inlineStr">
        <is>
          <t>华南</t>
        </is>
      </c>
      <c r="D1056" s="6" t="inlineStr">
        <is>
          <t>陈静</t>
        </is>
      </c>
      <c r="E1056" s="6" t="inlineStr">
        <is>
          <t>乐动体育</t>
        </is>
      </c>
      <c r="F1056" s="7" t="n">
        <v>58600</v>
      </c>
      <c r="G1056" s="7" t="n">
        <v>30800</v>
      </c>
      <c r="H1056" s="7" t="n">
        <v>27800</v>
      </c>
      <c r="I1056" s="8" t="n">
        <v>0.4744027303754266</v>
      </c>
    </row>
    <row r="1057">
      <c r="A1057" s="6" t="inlineStr">
        <is>
          <t>2025-11</t>
        </is>
      </c>
      <c r="B1057" s="6" t="inlineStr">
        <is>
          <t>训练服饰</t>
        </is>
      </c>
      <c r="C1057" s="6" t="inlineStr">
        <is>
          <t>西部</t>
        </is>
      </c>
      <c r="D1057" s="6" t="inlineStr">
        <is>
          <t>张伟</t>
        </is>
      </c>
      <c r="E1057" s="6" t="inlineStr">
        <is>
          <t>动能营养</t>
        </is>
      </c>
      <c r="F1057" s="7" t="n">
        <v>34900</v>
      </c>
      <c r="G1057" s="7" t="n">
        <v>18400</v>
      </c>
      <c r="H1057" s="7" t="n">
        <v>16500</v>
      </c>
      <c r="I1057" s="8" t="n">
        <v>0.4727793696275072</v>
      </c>
    </row>
    <row r="1058">
      <c r="A1058" s="6" t="inlineStr">
        <is>
          <t>2025-11</t>
        </is>
      </c>
      <c r="B1058" s="6" t="inlineStr">
        <is>
          <t>训练服饰</t>
        </is>
      </c>
      <c r="C1058" s="6" t="inlineStr">
        <is>
          <t>西部</t>
        </is>
      </c>
      <c r="D1058" s="6" t="inlineStr">
        <is>
          <t>李娜</t>
        </is>
      </c>
      <c r="E1058" s="6" t="inlineStr">
        <is>
          <t>锋行体育</t>
        </is>
      </c>
      <c r="F1058" s="7" t="n">
        <v>34700</v>
      </c>
      <c r="G1058" s="7" t="n">
        <v>20100</v>
      </c>
      <c r="H1058" s="7" t="n">
        <v>14600</v>
      </c>
      <c r="I1058" s="8" t="n">
        <v>0.4207492795389049</v>
      </c>
    </row>
    <row r="1059">
      <c r="A1059" s="6" t="inlineStr">
        <is>
          <t>2025-11</t>
        </is>
      </c>
      <c r="B1059" s="6" t="inlineStr">
        <is>
          <t>训练服饰</t>
        </is>
      </c>
      <c r="C1059" s="6" t="inlineStr">
        <is>
          <t>西部</t>
        </is>
      </c>
      <c r="D1059" s="6" t="inlineStr">
        <is>
          <t>王芳</t>
        </is>
      </c>
      <c r="E1059" s="6" t="inlineStr">
        <is>
          <t>康威运动商城</t>
        </is>
      </c>
      <c r="F1059" s="7" t="n">
        <v>39500</v>
      </c>
      <c r="G1059" s="7" t="n">
        <v>21200</v>
      </c>
      <c r="H1059" s="7" t="n">
        <v>18300</v>
      </c>
      <c r="I1059" s="8" t="n">
        <v>0.4632911392405064</v>
      </c>
    </row>
    <row r="1060">
      <c r="A1060" s="6" t="inlineStr">
        <is>
          <t>2025-11</t>
        </is>
      </c>
      <c r="B1060" s="6" t="inlineStr">
        <is>
          <t>训练服饰</t>
        </is>
      </c>
      <c r="C1060" s="6" t="inlineStr">
        <is>
          <t>西部</t>
        </is>
      </c>
      <c r="D1060" s="6" t="inlineStr">
        <is>
          <t>刘强</t>
        </is>
      </c>
      <c r="E1060" s="6" t="inlineStr">
        <is>
          <t>超能体育</t>
        </is>
      </c>
      <c r="F1060" s="7" t="n">
        <v>38300</v>
      </c>
      <c r="G1060" s="7" t="n">
        <v>21800</v>
      </c>
      <c r="H1060" s="7" t="n">
        <v>16500</v>
      </c>
      <c r="I1060" s="8" t="n">
        <v>0.4308093994778068</v>
      </c>
    </row>
    <row r="1061">
      <c r="A1061" s="6" t="inlineStr">
        <is>
          <t>2025-11</t>
        </is>
      </c>
      <c r="B1061" s="6" t="inlineStr">
        <is>
          <t>训练服饰</t>
        </is>
      </c>
      <c r="C1061" s="6" t="inlineStr">
        <is>
          <t>西部</t>
        </is>
      </c>
      <c r="D1061" s="6" t="inlineStr">
        <is>
          <t>陈静</t>
        </is>
      </c>
      <c r="E1061" s="6" t="inlineStr">
        <is>
          <t>活力无限健身</t>
        </is>
      </c>
      <c r="F1061" s="7" t="n">
        <v>32900</v>
      </c>
      <c r="G1061" s="7" t="n">
        <v>17900</v>
      </c>
      <c r="H1061" s="7" t="n">
        <v>15000</v>
      </c>
      <c r="I1061" s="8" t="n">
        <v>0.4559270516717325</v>
      </c>
    </row>
    <row r="1062">
      <c r="A1062" s="6" t="inlineStr">
        <is>
          <t>2025-11</t>
        </is>
      </c>
      <c r="B1062" s="6" t="inlineStr">
        <is>
          <t>营养补给</t>
        </is>
      </c>
      <c r="C1062" s="6" t="inlineStr">
        <is>
          <t>华东</t>
        </is>
      </c>
      <c r="D1062" s="6" t="inlineStr">
        <is>
          <t>张伟</t>
        </is>
      </c>
      <c r="E1062" s="6" t="inlineStr">
        <is>
          <t>优加体能中心</t>
        </is>
      </c>
      <c r="F1062" s="7" t="n">
        <v>78800</v>
      </c>
      <c r="G1062" s="7" t="n">
        <v>61100</v>
      </c>
      <c r="H1062" s="7" t="n">
        <v>17700</v>
      </c>
      <c r="I1062" s="8" t="n">
        <v>0.2246192893401015</v>
      </c>
    </row>
    <row r="1063">
      <c r="A1063" s="6" t="inlineStr">
        <is>
          <t>2025-11</t>
        </is>
      </c>
      <c r="B1063" s="6" t="inlineStr">
        <is>
          <t>营养补给</t>
        </is>
      </c>
      <c r="C1063" s="6" t="inlineStr">
        <is>
          <t>华东</t>
        </is>
      </c>
      <c r="D1063" s="6" t="inlineStr">
        <is>
          <t>李娜</t>
        </is>
      </c>
      <c r="E1063" s="6" t="inlineStr">
        <is>
          <t>巅峰运动</t>
        </is>
      </c>
      <c r="F1063" s="7" t="n">
        <v>85000</v>
      </c>
      <c r="G1063" s="7" t="n">
        <v>62400</v>
      </c>
      <c r="H1063" s="7" t="n">
        <v>22600</v>
      </c>
      <c r="I1063" s="8" t="n">
        <v>0.2658823529411765</v>
      </c>
    </row>
    <row r="1064">
      <c r="A1064" s="6" t="inlineStr">
        <is>
          <t>2025-11</t>
        </is>
      </c>
      <c r="B1064" s="6" t="inlineStr">
        <is>
          <t>营养补给</t>
        </is>
      </c>
      <c r="C1064" s="6" t="inlineStr">
        <is>
          <t>华东</t>
        </is>
      </c>
      <c r="D1064" s="6" t="inlineStr">
        <is>
          <t>王芳</t>
        </is>
      </c>
      <c r="E1064" s="6" t="inlineStr">
        <is>
          <t>冠军之路俱乐部</t>
        </is>
      </c>
      <c r="F1064" s="7" t="n">
        <v>83200</v>
      </c>
      <c r="G1064" s="7" t="n">
        <v>62100</v>
      </c>
      <c r="H1064" s="7" t="n">
        <v>21100</v>
      </c>
      <c r="I1064" s="8" t="n">
        <v>0.2536057692307692</v>
      </c>
    </row>
    <row r="1065">
      <c r="A1065" s="6" t="inlineStr">
        <is>
          <t>2025-11</t>
        </is>
      </c>
      <c r="B1065" s="6" t="inlineStr">
        <is>
          <t>营养补给</t>
        </is>
      </c>
      <c r="C1065" s="6" t="inlineStr">
        <is>
          <t>华东</t>
        </is>
      </c>
      <c r="D1065" s="6" t="inlineStr">
        <is>
          <t>刘强</t>
        </is>
      </c>
      <c r="E1065" s="6" t="inlineStr">
        <is>
          <t>冠军之路俱乐部</t>
        </is>
      </c>
      <c r="F1065" s="7" t="n">
        <v>87700</v>
      </c>
      <c r="G1065" s="7" t="n">
        <v>66600</v>
      </c>
      <c r="H1065" s="7" t="n">
        <v>21100</v>
      </c>
      <c r="I1065" s="8" t="n">
        <v>0.2405929304446978</v>
      </c>
    </row>
    <row r="1066">
      <c r="A1066" s="6" t="inlineStr">
        <is>
          <t>2025-11</t>
        </is>
      </c>
      <c r="B1066" s="6" t="inlineStr">
        <is>
          <t>营养补给</t>
        </is>
      </c>
      <c r="C1066" s="6" t="inlineStr">
        <is>
          <t>华东</t>
        </is>
      </c>
      <c r="D1066" s="6" t="inlineStr">
        <is>
          <t>陈静</t>
        </is>
      </c>
      <c r="E1066" s="6" t="inlineStr">
        <is>
          <t>强体体育</t>
        </is>
      </c>
      <c r="F1066" s="7" t="n">
        <v>76000</v>
      </c>
      <c r="G1066" s="7" t="n">
        <v>58200</v>
      </c>
      <c r="H1066" s="7" t="n">
        <v>17800</v>
      </c>
      <c r="I1066" s="8" t="n">
        <v>0.2342105263157895</v>
      </c>
    </row>
    <row r="1067">
      <c r="A1067" s="6" t="inlineStr">
        <is>
          <t>2025-11</t>
        </is>
      </c>
      <c r="B1067" s="6" t="inlineStr">
        <is>
          <t>营养补给</t>
        </is>
      </c>
      <c r="C1067" s="6" t="inlineStr">
        <is>
          <t>华北</t>
        </is>
      </c>
      <c r="D1067" s="6" t="inlineStr">
        <is>
          <t>张伟</t>
        </is>
      </c>
      <c r="E1067" s="6" t="inlineStr">
        <is>
          <t>动能营养</t>
        </is>
      </c>
      <c r="F1067" s="7" t="n">
        <v>64300</v>
      </c>
      <c r="G1067" s="7" t="n">
        <v>49800</v>
      </c>
      <c r="H1067" s="7" t="n">
        <v>14500</v>
      </c>
      <c r="I1067" s="8" t="n">
        <v>0.2255054432348367</v>
      </c>
    </row>
    <row r="1068">
      <c r="A1068" s="6" t="inlineStr">
        <is>
          <t>2025-11</t>
        </is>
      </c>
      <c r="B1068" s="6" t="inlineStr">
        <is>
          <t>营养补给</t>
        </is>
      </c>
      <c r="C1068" s="6" t="inlineStr">
        <is>
          <t>华北</t>
        </is>
      </c>
      <c r="D1068" s="6" t="inlineStr">
        <is>
          <t>李娜</t>
        </is>
      </c>
      <c r="E1068" s="6" t="inlineStr">
        <is>
          <t>智练体育</t>
        </is>
      </c>
      <c r="F1068" s="7" t="n">
        <v>61800</v>
      </c>
      <c r="G1068" s="7" t="n">
        <v>46400</v>
      </c>
      <c r="H1068" s="7" t="n">
        <v>15400</v>
      </c>
      <c r="I1068" s="8" t="n">
        <v>0.2491909385113269</v>
      </c>
    </row>
    <row r="1069">
      <c r="A1069" s="6" t="inlineStr">
        <is>
          <t>2025-11</t>
        </is>
      </c>
      <c r="B1069" s="6" t="inlineStr">
        <is>
          <t>营养补给</t>
        </is>
      </c>
      <c r="C1069" s="6" t="inlineStr">
        <is>
          <t>华北</t>
        </is>
      </c>
      <c r="D1069" s="6" t="inlineStr">
        <is>
          <t>王芳</t>
        </is>
      </c>
      <c r="E1069" s="6" t="inlineStr">
        <is>
          <t>锋行体育</t>
        </is>
      </c>
      <c r="F1069" s="7" t="n">
        <v>77200</v>
      </c>
      <c r="G1069" s="7" t="n">
        <v>59600</v>
      </c>
      <c r="H1069" s="7" t="n">
        <v>17600</v>
      </c>
      <c r="I1069" s="8" t="n">
        <v>0.227979274611399</v>
      </c>
    </row>
    <row r="1070">
      <c r="A1070" s="6" t="inlineStr">
        <is>
          <t>2025-11</t>
        </is>
      </c>
      <c r="B1070" s="6" t="inlineStr">
        <is>
          <t>营养补给</t>
        </is>
      </c>
      <c r="C1070" s="6" t="inlineStr">
        <is>
          <t>华北</t>
        </is>
      </c>
      <c r="D1070" s="6" t="inlineStr">
        <is>
          <t>刘强</t>
        </is>
      </c>
      <c r="E1070" s="6" t="inlineStr">
        <is>
          <t>冠军之路俱乐部</t>
        </is>
      </c>
      <c r="F1070" s="7" t="n">
        <v>57600</v>
      </c>
      <c r="G1070" s="7" t="n">
        <v>44100</v>
      </c>
      <c r="H1070" s="7" t="n">
        <v>13500</v>
      </c>
      <c r="I1070" s="8" t="n">
        <v>0.234375</v>
      </c>
    </row>
    <row r="1071">
      <c r="A1071" s="6" t="inlineStr">
        <is>
          <t>2025-11</t>
        </is>
      </c>
      <c r="B1071" s="6" t="inlineStr">
        <is>
          <t>营养补给</t>
        </is>
      </c>
      <c r="C1071" s="6" t="inlineStr">
        <is>
          <t>华北</t>
        </is>
      </c>
      <c r="D1071" s="6" t="inlineStr">
        <is>
          <t>陈静</t>
        </is>
      </c>
      <c r="E1071" s="6" t="inlineStr">
        <is>
          <t>乐动体育</t>
        </is>
      </c>
      <c r="F1071" s="7" t="n">
        <v>60200</v>
      </c>
      <c r="G1071" s="7" t="n">
        <v>46100</v>
      </c>
      <c r="H1071" s="7" t="n">
        <v>14100</v>
      </c>
      <c r="I1071" s="8" t="n">
        <v>0.23421926910299</v>
      </c>
    </row>
    <row r="1072">
      <c r="A1072" s="6" t="inlineStr">
        <is>
          <t>2025-11</t>
        </is>
      </c>
      <c r="B1072" s="6" t="inlineStr">
        <is>
          <t>营养补给</t>
        </is>
      </c>
      <c r="C1072" s="6" t="inlineStr">
        <is>
          <t>华南</t>
        </is>
      </c>
      <c r="D1072" s="6" t="inlineStr">
        <is>
          <t>张伟</t>
        </is>
      </c>
      <c r="E1072" s="6" t="inlineStr">
        <is>
          <t>腾飞体育用品</t>
        </is>
      </c>
      <c r="F1072" s="7" t="n">
        <v>69300</v>
      </c>
      <c r="G1072" s="7" t="n">
        <v>51000</v>
      </c>
      <c r="H1072" s="7" t="n">
        <v>18300</v>
      </c>
      <c r="I1072" s="8" t="n">
        <v>0.2640692640692641</v>
      </c>
    </row>
    <row r="1073">
      <c r="A1073" s="6" t="inlineStr">
        <is>
          <t>2025-11</t>
        </is>
      </c>
      <c r="B1073" s="6" t="inlineStr">
        <is>
          <t>营养补给</t>
        </is>
      </c>
      <c r="C1073" s="6" t="inlineStr">
        <is>
          <t>华南</t>
        </is>
      </c>
      <c r="D1073" s="6" t="inlineStr">
        <is>
          <t>李娜</t>
        </is>
      </c>
      <c r="E1073" s="6" t="inlineStr">
        <is>
          <t>优加体能中心</t>
        </is>
      </c>
      <c r="F1073" s="7" t="n">
        <v>77600</v>
      </c>
      <c r="G1073" s="7" t="n">
        <v>59400</v>
      </c>
      <c r="H1073" s="7" t="n">
        <v>18200</v>
      </c>
      <c r="I1073" s="8" t="n">
        <v>0.2345360824742268</v>
      </c>
    </row>
    <row r="1074">
      <c r="A1074" s="6" t="inlineStr">
        <is>
          <t>2025-11</t>
        </is>
      </c>
      <c r="B1074" s="6" t="inlineStr">
        <is>
          <t>营养补给</t>
        </is>
      </c>
      <c r="C1074" s="6" t="inlineStr">
        <is>
          <t>华南</t>
        </is>
      </c>
      <c r="D1074" s="6" t="inlineStr">
        <is>
          <t>王芳</t>
        </is>
      </c>
      <c r="E1074" s="6" t="inlineStr">
        <is>
          <t>纵横运动</t>
        </is>
      </c>
      <c r="F1074" s="7" t="n">
        <v>68800</v>
      </c>
      <c r="G1074" s="7" t="n">
        <v>52000</v>
      </c>
      <c r="H1074" s="7" t="n">
        <v>16800</v>
      </c>
      <c r="I1074" s="8" t="n">
        <v>0.2441860465116279</v>
      </c>
    </row>
    <row r="1075">
      <c r="A1075" s="6" t="inlineStr">
        <is>
          <t>2025-11</t>
        </is>
      </c>
      <c r="B1075" s="6" t="inlineStr">
        <is>
          <t>营养补给</t>
        </is>
      </c>
      <c r="C1075" s="6" t="inlineStr">
        <is>
          <t>华南</t>
        </is>
      </c>
      <c r="D1075" s="6" t="inlineStr">
        <is>
          <t>刘强</t>
        </is>
      </c>
      <c r="E1075" s="6" t="inlineStr">
        <is>
          <t>乐动体育</t>
        </is>
      </c>
      <c r="F1075" s="7" t="n">
        <v>59400</v>
      </c>
      <c r="G1075" s="7" t="n">
        <v>45400</v>
      </c>
      <c r="H1075" s="7" t="n">
        <v>14000</v>
      </c>
      <c r="I1075" s="8" t="n">
        <v>0.2356902356902357</v>
      </c>
    </row>
    <row r="1076">
      <c r="A1076" s="6" t="inlineStr">
        <is>
          <t>2025-11</t>
        </is>
      </c>
      <c r="B1076" s="6" t="inlineStr">
        <is>
          <t>营养补给</t>
        </is>
      </c>
      <c r="C1076" s="6" t="inlineStr">
        <is>
          <t>华南</t>
        </is>
      </c>
      <c r="D1076" s="6" t="inlineStr">
        <is>
          <t>陈静</t>
        </is>
      </c>
      <c r="E1076" s="6" t="inlineStr">
        <is>
          <t>领跑体育</t>
        </is>
      </c>
      <c r="F1076" s="7" t="n">
        <v>77500</v>
      </c>
      <c r="G1076" s="7" t="n">
        <v>58800</v>
      </c>
      <c r="H1076" s="7" t="n">
        <v>18700</v>
      </c>
      <c r="I1076" s="8" t="n">
        <v>0.2412903225806452</v>
      </c>
    </row>
    <row r="1077">
      <c r="A1077" s="6" t="inlineStr">
        <is>
          <t>2025-11</t>
        </is>
      </c>
      <c r="B1077" s="6" t="inlineStr">
        <is>
          <t>营养补给</t>
        </is>
      </c>
      <c r="C1077" s="6" t="inlineStr">
        <is>
          <t>西部</t>
        </is>
      </c>
      <c r="D1077" s="6" t="inlineStr">
        <is>
          <t>张伟</t>
        </is>
      </c>
      <c r="E1077" s="6" t="inlineStr">
        <is>
          <t>冠军之路俱乐部</t>
        </is>
      </c>
      <c r="F1077" s="7" t="n">
        <v>49100</v>
      </c>
      <c r="G1077" s="7" t="n">
        <v>36200</v>
      </c>
      <c r="H1077" s="7" t="n">
        <v>12900</v>
      </c>
      <c r="I1077" s="8" t="n">
        <v>0.2627291242362526</v>
      </c>
    </row>
    <row r="1078">
      <c r="A1078" s="6" t="inlineStr">
        <is>
          <t>2025-11</t>
        </is>
      </c>
      <c r="B1078" s="6" t="inlineStr">
        <is>
          <t>营养补给</t>
        </is>
      </c>
      <c r="C1078" s="6" t="inlineStr">
        <is>
          <t>西部</t>
        </is>
      </c>
      <c r="D1078" s="6" t="inlineStr">
        <is>
          <t>李娜</t>
        </is>
      </c>
      <c r="E1078" s="6" t="inlineStr">
        <is>
          <t>智练体育</t>
        </is>
      </c>
      <c r="F1078" s="7" t="n">
        <v>52900</v>
      </c>
      <c r="G1078" s="7" t="n">
        <v>39500</v>
      </c>
      <c r="H1078" s="7" t="n">
        <v>13400</v>
      </c>
      <c r="I1078" s="8" t="n">
        <v>0.2533081285444234</v>
      </c>
    </row>
    <row r="1079">
      <c r="A1079" s="6" t="inlineStr">
        <is>
          <t>2025-11</t>
        </is>
      </c>
      <c r="B1079" s="6" t="inlineStr">
        <is>
          <t>营养补给</t>
        </is>
      </c>
      <c r="C1079" s="6" t="inlineStr">
        <is>
          <t>西部</t>
        </is>
      </c>
      <c r="D1079" s="6" t="inlineStr">
        <is>
          <t>王芳</t>
        </is>
      </c>
      <c r="E1079" s="6" t="inlineStr">
        <is>
          <t>茁长少儿体适能</t>
        </is>
      </c>
      <c r="F1079" s="7" t="n">
        <v>46000</v>
      </c>
      <c r="G1079" s="7" t="n">
        <v>35200</v>
      </c>
      <c r="H1079" s="7" t="n">
        <v>10800</v>
      </c>
      <c r="I1079" s="8" t="n">
        <v>0.2347826086956522</v>
      </c>
    </row>
    <row r="1080">
      <c r="A1080" s="6" t="inlineStr">
        <is>
          <t>2025-11</t>
        </is>
      </c>
      <c r="B1080" s="6" t="inlineStr">
        <is>
          <t>营养补给</t>
        </is>
      </c>
      <c r="C1080" s="6" t="inlineStr">
        <is>
          <t>西部</t>
        </is>
      </c>
      <c r="D1080" s="6" t="inlineStr">
        <is>
          <t>刘强</t>
        </is>
      </c>
      <c r="E1080" s="6" t="inlineStr">
        <is>
          <t>健将体育</t>
        </is>
      </c>
      <c r="F1080" s="7" t="n">
        <v>43800</v>
      </c>
      <c r="G1080" s="7" t="n">
        <v>32900</v>
      </c>
      <c r="H1080" s="7" t="n">
        <v>10900</v>
      </c>
      <c r="I1080" s="8" t="n">
        <v>0.2488584474885845</v>
      </c>
    </row>
    <row r="1081">
      <c r="A1081" s="6" t="inlineStr">
        <is>
          <t>2025-11</t>
        </is>
      </c>
      <c r="B1081" s="6" t="inlineStr">
        <is>
          <t>营养补给</t>
        </is>
      </c>
      <c r="C1081" s="6" t="inlineStr">
        <is>
          <t>西部</t>
        </is>
      </c>
      <c r="D1081" s="6" t="inlineStr">
        <is>
          <t>陈静</t>
        </is>
      </c>
      <c r="E1081" s="6" t="inlineStr">
        <is>
          <t>腾飞体育用品</t>
        </is>
      </c>
      <c r="F1081" s="7" t="n">
        <v>48300</v>
      </c>
      <c r="G1081" s="7" t="n">
        <v>35600</v>
      </c>
      <c r="H1081" s="7" t="n">
        <v>12700</v>
      </c>
      <c r="I1081" s="8" t="n">
        <v>0.2629399585921325</v>
      </c>
    </row>
    <row r="1082">
      <c r="A1082" s="6" t="inlineStr">
        <is>
          <t>2025-11</t>
        </is>
      </c>
      <c r="B1082" s="6" t="inlineStr">
        <is>
          <t>智能穿戴</t>
        </is>
      </c>
      <c r="C1082" s="6" t="inlineStr">
        <is>
          <t>华东</t>
        </is>
      </c>
      <c r="D1082" s="6" t="inlineStr">
        <is>
          <t>张伟</t>
        </is>
      </c>
      <c r="E1082" s="6" t="inlineStr">
        <is>
          <t>雷霆篮球</t>
        </is>
      </c>
      <c r="F1082" s="7" t="n">
        <v>108800</v>
      </c>
      <c r="G1082" s="7" t="n">
        <v>68800</v>
      </c>
      <c r="H1082" s="7" t="n">
        <v>40000</v>
      </c>
      <c r="I1082" s="8" t="n">
        <v>0.3676470588235294</v>
      </c>
    </row>
    <row r="1083">
      <c r="A1083" s="6" t="inlineStr">
        <is>
          <t>2025-11</t>
        </is>
      </c>
      <c r="B1083" s="6" t="inlineStr">
        <is>
          <t>智能穿戴</t>
        </is>
      </c>
      <c r="C1083" s="6" t="inlineStr">
        <is>
          <t>华东</t>
        </is>
      </c>
      <c r="D1083" s="6" t="inlineStr">
        <is>
          <t>李娜</t>
        </is>
      </c>
      <c r="E1083" s="6" t="inlineStr">
        <is>
          <t>极客穿戴</t>
        </is>
      </c>
      <c r="F1083" s="7" t="n">
        <v>109700</v>
      </c>
      <c r="G1083" s="7" t="n">
        <v>69000</v>
      </c>
      <c r="H1083" s="7" t="n">
        <v>40700</v>
      </c>
      <c r="I1083" s="8" t="n">
        <v>0.3710118505013674</v>
      </c>
    </row>
    <row r="1084">
      <c r="A1084" s="6" t="inlineStr">
        <is>
          <t>2025-11</t>
        </is>
      </c>
      <c r="B1084" s="6" t="inlineStr">
        <is>
          <t>智能穿戴</t>
        </is>
      </c>
      <c r="C1084" s="6" t="inlineStr">
        <is>
          <t>华东</t>
        </is>
      </c>
      <c r="D1084" s="6" t="inlineStr">
        <is>
          <t>王芳</t>
        </is>
      </c>
      <c r="E1084" s="6" t="inlineStr">
        <is>
          <t>飞跃训练营</t>
        </is>
      </c>
      <c r="F1084" s="7" t="n">
        <v>109700</v>
      </c>
      <c r="G1084" s="7" t="n">
        <v>64700</v>
      </c>
      <c r="H1084" s="7" t="n">
        <v>45000</v>
      </c>
      <c r="I1084" s="8" t="n">
        <v>0.4102096627164996</v>
      </c>
    </row>
    <row r="1085">
      <c r="A1085" s="6" t="inlineStr">
        <is>
          <t>2025-11</t>
        </is>
      </c>
      <c r="B1085" s="6" t="inlineStr">
        <is>
          <t>智能穿戴</t>
        </is>
      </c>
      <c r="C1085" s="6" t="inlineStr">
        <is>
          <t>华东</t>
        </is>
      </c>
      <c r="D1085" s="6" t="inlineStr">
        <is>
          <t>刘强</t>
        </is>
      </c>
      <c r="E1085" s="6" t="inlineStr">
        <is>
          <t>风尚健身</t>
        </is>
      </c>
      <c r="F1085" s="7" t="n">
        <v>119200</v>
      </c>
      <c r="G1085" s="7" t="n">
        <v>75300</v>
      </c>
      <c r="H1085" s="7" t="n">
        <v>43900</v>
      </c>
      <c r="I1085" s="8" t="n">
        <v>0.3682885906040269</v>
      </c>
    </row>
    <row r="1086">
      <c r="A1086" s="6" t="inlineStr">
        <is>
          <t>2025-11</t>
        </is>
      </c>
      <c r="B1086" s="6" t="inlineStr">
        <is>
          <t>智能穿戴</t>
        </is>
      </c>
      <c r="C1086" s="6" t="inlineStr">
        <is>
          <t>华东</t>
        </is>
      </c>
      <c r="D1086" s="6" t="inlineStr">
        <is>
          <t>陈静</t>
        </is>
      </c>
      <c r="E1086" s="6" t="inlineStr">
        <is>
          <t>环宇体育</t>
        </is>
      </c>
      <c r="F1086" s="7" t="n">
        <v>115700</v>
      </c>
      <c r="G1086" s="7" t="n">
        <v>70900</v>
      </c>
      <c r="H1086" s="7" t="n">
        <v>44800</v>
      </c>
      <c r="I1086" s="8" t="n">
        <v>0.3872082973206569</v>
      </c>
    </row>
    <row r="1087">
      <c r="A1087" s="6" t="inlineStr">
        <is>
          <t>2025-11</t>
        </is>
      </c>
      <c r="B1087" s="6" t="inlineStr">
        <is>
          <t>智能穿戴</t>
        </is>
      </c>
      <c r="C1087" s="6" t="inlineStr">
        <is>
          <t>华北</t>
        </is>
      </c>
      <c r="D1087" s="6" t="inlineStr">
        <is>
          <t>张伟</t>
        </is>
      </c>
      <c r="E1087" s="6" t="inlineStr">
        <is>
          <t>小小运动家</t>
        </is>
      </c>
      <c r="F1087" s="7" t="n">
        <v>77500</v>
      </c>
      <c r="G1087" s="7" t="n">
        <v>47500</v>
      </c>
      <c r="H1087" s="7" t="n">
        <v>30000</v>
      </c>
      <c r="I1087" s="8" t="n">
        <v>0.3870967741935484</v>
      </c>
    </row>
    <row r="1088">
      <c r="A1088" s="6" t="inlineStr">
        <is>
          <t>2025-11</t>
        </is>
      </c>
      <c r="B1088" s="6" t="inlineStr">
        <is>
          <t>智能穿戴</t>
        </is>
      </c>
      <c r="C1088" s="6" t="inlineStr">
        <is>
          <t>华北</t>
        </is>
      </c>
      <c r="D1088" s="6" t="inlineStr">
        <is>
          <t>李娜</t>
        </is>
      </c>
      <c r="E1088" s="6" t="inlineStr">
        <is>
          <t>小飞侠运动俱乐部</t>
        </is>
      </c>
      <c r="F1088" s="7" t="n">
        <v>96600</v>
      </c>
      <c r="G1088" s="7" t="n">
        <v>57800</v>
      </c>
      <c r="H1088" s="7" t="n">
        <v>38800</v>
      </c>
      <c r="I1088" s="8" t="n">
        <v>0.401656314699793</v>
      </c>
    </row>
    <row r="1089">
      <c r="A1089" s="6" t="inlineStr">
        <is>
          <t>2025-11</t>
        </is>
      </c>
      <c r="B1089" s="6" t="inlineStr">
        <is>
          <t>智能穿戴</t>
        </is>
      </c>
      <c r="C1089" s="6" t="inlineStr">
        <is>
          <t>华北</t>
        </is>
      </c>
      <c r="D1089" s="6" t="inlineStr">
        <is>
          <t>王芳</t>
        </is>
      </c>
      <c r="E1089" s="6" t="inlineStr">
        <is>
          <t>飞跃训练营</t>
        </is>
      </c>
      <c r="F1089" s="7" t="n">
        <v>108800</v>
      </c>
      <c r="G1089" s="7" t="n">
        <v>69300</v>
      </c>
      <c r="H1089" s="7" t="n">
        <v>39500</v>
      </c>
      <c r="I1089" s="8" t="n">
        <v>0.3630514705882353</v>
      </c>
    </row>
    <row r="1090">
      <c r="A1090" s="6" t="inlineStr">
        <is>
          <t>2025-11</t>
        </is>
      </c>
      <c r="B1090" s="6" t="inlineStr">
        <is>
          <t>智能穿戴</t>
        </is>
      </c>
      <c r="C1090" s="6" t="inlineStr">
        <is>
          <t>华北</t>
        </is>
      </c>
      <c r="D1090" s="6" t="inlineStr">
        <is>
          <t>刘强</t>
        </is>
      </c>
      <c r="E1090" s="6" t="inlineStr">
        <is>
          <t>巅峰运动</t>
        </is>
      </c>
      <c r="F1090" s="7" t="n">
        <v>71900</v>
      </c>
      <c r="G1090" s="7" t="n">
        <v>45300</v>
      </c>
      <c r="H1090" s="7" t="n">
        <v>26600</v>
      </c>
      <c r="I1090" s="8" t="n">
        <v>0.3699582753824757</v>
      </c>
    </row>
    <row r="1091">
      <c r="A1091" s="6" t="inlineStr">
        <is>
          <t>2025-11</t>
        </is>
      </c>
      <c r="B1091" s="6" t="inlineStr">
        <is>
          <t>智能穿戴</t>
        </is>
      </c>
      <c r="C1091" s="6" t="inlineStr">
        <is>
          <t>华北</t>
        </is>
      </c>
      <c r="D1091" s="6" t="inlineStr">
        <is>
          <t>陈静</t>
        </is>
      </c>
      <c r="E1091" s="6" t="inlineStr">
        <is>
          <t>茁长少儿体适能</t>
        </is>
      </c>
      <c r="F1091" s="7" t="n">
        <v>88400</v>
      </c>
      <c r="G1091" s="7" t="n">
        <v>56300</v>
      </c>
      <c r="H1091" s="7" t="n">
        <v>32100</v>
      </c>
      <c r="I1091" s="8" t="n">
        <v>0.3631221719457013</v>
      </c>
    </row>
    <row r="1092">
      <c r="A1092" s="6" t="inlineStr">
        <is>
          <t>2025-11</t>
        </is>
      </c>
      <c r="B1092" s="6" t="inlineStr">
        <is>
          <t>智能穿戴</t>
        </is>
      </c>
      <c r="C1092" s="6" t="inlineStr">
        <is>
          <t>华南</t>
        </is>
      </c>
      <c r="D1092" s="6" t="inlineStr">
        <is>
          <t>张伟</t>
        </is>
      </c>
      <c r="E1092" s="6" t="inlineStr">
        <is>
          <t>迈步体育</t>
        </is>
      </c>
      <c r="F1092" s="7" t="n">
        <v>95300</v>
      </c>
      <c r="G1092" s="7" t="n">
        <v>59600</v>
      </c>
      <c r="H1092" s="7" t="n">
        <v>35700</v>
      </c>
      <c r="I1092" s="8" t="n">
        <v>0.3746065057712487</v>
      </c>
    </row>
    <row r="1093">
      <c r="A1093" s="6" t="inlineStr">
        <is>
          <t>2025-11</t>
        </is>
      </c>
      <c r="B1093" s="6" t="inlineStr">
        <is>
          <t>智能穿戴</t>
        </is>
      </c>
      <c r="C1093" s="6" t="inlineStr">
        <is>
          <t>华南</t>
        </is>
      </c>
      <c r="D1093" s="6" t="inlineStr">
        <is>
          <t>李娜</t>
        </is>
      </c>
      <c r="E1093" s="6" t="inlineStr">
        <is>
          <t>小飞侠运动俱乐部</t>
        </is>
      </c>
      <c r="F1093" s="7" t="n">
        <v>97300</v>
      </c>
      <c r="G1093" s="7" t="n">
        <v>62500</v>
      </c>
      <c r="H1093" s="7" t="n">
        <v>34800</v>
      </c>
      <c r="I1093" s="8" t="n">
        <v>0.3576567317574512</v>
      </c>
    </row>
    <row r="1094">
      <c r="A1094" s="6" t="inlineStr">
        <is>
          <t>2025-11</t>
        </is>
      </c>
      <c r="B1094" s="6" t="inlineStr">
        <is>
          <t>智能穿戴</t>
        </is>
      </c>
      <c r="C1094" s="6" t="inlineStr">
        <is>
          <t>华南</t>
        </is>
      </c>
      <c r="D1094" s="6" t="inlineStr">
        <is>
          <t>王芳</t>
        </is>
      </c>
      <c r="E1094" s="6" t="inlineStr">
        <is>
          <t>风云篮球馆</t>
        </is>
      </c>
      <c r="F1094" s="7" t="n">
        <v>98200</v>
      </c>
      <c r="G1094" s="7" t="n">
        <v>60300</v>
      </c>
      <c r="H1094" s="7" t="n">
        <v>37900</v>
      </c>
      <c r="I1094" s="8" t="n">
        <v>0.3859470468431772</v>
      </c>
    </row>
    <row r="1095">
      <c r="A1095" s="6" t="inlineStr">
        <is>
          <t>2025-11</t>
        </is>
      </c>
      <c r="B1095" s="6" t="inlineStr">
        <is>
          <t>智能穿戴</t>
        </is>
      </c>
      <c r="C1095" s="6" t="inlineStr">
        <is>
          <t>华南</t>
        </is>
      </c>
      <c r="D1095" s="6" t="inlineStr">
        <is>
          <t>刘强</t>
        </is>
      </c>
      <c r="E1095" s="6" t="inlineStr">
        <is>
          <t>冠军之路俱乐部</t>
        </is>
      </c>
      <c r="F1095" s="7" t="n">
        <v>95200</v>
      </c>
      <c r="G1095" s="7" t="n">
        <v>60200</v>
      </c>
      <c r="H1095" s="7" t="n">
        <v>35000</v>
      </c>
      <c r="I1095" s="8" t="n">
        <v>0.3676470588235294</v>
      </c>
    </row>
    <row r="1096">
      <c r="A1096" s="6" t="inlineStr">
        <is>
          <t>2025-11</t>
        </is>
      </c>
      <c r="B1096" s="6" t="inlineStr">
        <is>
          <t>智能穿戴</t>
        </is>
      </c>
      <c r="C1096" s="6" t="inlineStr">
        <is>
          <t>华南</t>
        </is>
      </c>
      <c r="D1096" s="6" t="inlineStr">
        <is>
          <t>陈静</t>
        </is>
      </c>
      <c r="E1096" s="6" t="inlineStr">
        <is>
          <t>小飞侠运动俱乐部</t>
        </is>
      </c>
      <c r="F1096" s="7" t="n">
        <v>89100</v>
      </c>
      <c r="G1096" s="7" t="n">
        <v>57700</v>
      </c>
      <c r="H1096" s="7" t="n">
        <v>31400</v>
      </c>
      <c r="I1096" s="8" t="n">
        <v>0.3524130190796858</v>
      </c>
    </row>
    <row r="1097">
      <c r="A1097" s="6" t="inlineStr">
        <is>
          <t>2025-11</t>
        </is>
      </c>
      <c r="B1097" s="6" t="inlineStr">
        <is>
          <t>智能穿戴</t>
        </is>
      </c>
      <c r="C1097" s="6" t="inlineStr">
        <is>
          <t>西部</t>
        </is>
      </c>
      <c r="D1097" s="6" t="inlineStr">
        <is>
          <t>张伟</t>
        </is>
      </c>
      <c r="E1097" s="6" t="inlineStr">
        <is>
          <t>超能体育</t>
        </is>
      </c>
      <c r="F1097" s="7" t="n">
        <v>72600</v>
      </c>
      <c r="G1097" s="7" t="n">
        <v>46600</v>
      </c>
      <c r="H1097" s="7" t="n">
        <v>26000</v>
      </c>
      <c r="I1097" s="8" t="n">
        <v>0.3581267217630854</v>
      </c>
    </row>
    <row r="1098">
      <c r="A1098" s="6" t="inlineStr">
        <is>
          <t>2025-11</t>
        </is>
      </c>
      <c r="B1098" s="6" t="inlineStr">
        <is>
          <t>智能穿戴</t>
        </is>
      </c>
      <c r="C1098" s="6" t="inlineStr">
        <is>
          <t>西部</t>
        </is>
      </c>
      <c r="D1098" s="6" t="inlineStr">
        <is>
          <t>李娜</t>
        </is>
      </c>
      <c r="E1098" s="6" t="inlineStr">
        <is>
          <t>天天向上健身</t>
        </is>
      </c>
      <c r="F1098" s="7" t="n">
        <v>61200</v>
      </c>
      <c r="G1098" s="7" t="n">
        <v>38100</v>
      </c>
      <c r="H1098" s="7" t="n">
        <v>23100</v>
      </c>
      <c r="I1098" s="8" t="n">
        <v>0.3774509803921569</v>
      </c>
    </row>
    <row r="1099">
      <c r="A1099" s="6" t="inlineStr">
        <is>
          <t>2025-11</t>
        </is>
      </c>
      <c r="B1099" s="6" t="inlineStr">
        <is>
          <t>智能穿戴</t>
        </is>
      </c>
      <c r="C1099" s="6" t="inlineStr">
        <is>
          <t>西部</t>
        </is>
      </c>
      <c r="D1099" s="6" t="inlineStr">
        <is>
          <t>王芳</t>
        </is>
      </c>
      <c r="E1099" s="6" t="inlineStr">
        <is>
          <t>腾飞体育用品</t>
        </is>
      </c>
      <c r="F1099" s="7" t="n">
        <v>74500</v>
      </c>
      <c r="G1099" s="7" t="n">
        <v>47800</v>
      </c>
      <c r="H1099" s="7" t="n">
        <v>26700</v>
      </c>
      <c r="I1099" s="8" t="n">
        <v>0.3583892617449664</v>
      </c>
    </row>
    <row r="1100">
      <c r="A1100" s="6" t="inlineStr">
        <is>
          <t>2025-11</t>
        </is>
      </c>
      <c r="B1100" s="6" t="inlineStr">
        <is>
          <t>智能穿戴</t>
        </is>
      </c>
      <c r="C1100" s="6" t="inlineStr">
        <is>
          <t>西部</t>
        </is>
      </c>
      <c r="D1100" s="6" t="inlineStr">
        <is>
          <t>刘强</t>
        </is>
      </c>
      <c r="E1100" s="6" t="inlineStr">
        <is>
          <t>锐健身工作室</t>
        </is>
      </c>
      <c r="F1100" s="7" t="n">
        <v>67300</v>
      </c>
      <c r="G1100" s="7" t="n">
        <v>42300</v>
      </c>
      <c r="H1100" s="7" t="n">
        <v>25000</v>
      </c>
      <c r="I1100" s="8" t="n">
        <v>0.3714710252600297</v>
      </c>
    </row>
    <row r="1101">
      <c r="A1101" s="6" t="inlineStr">
        <is>
          <t>2025-11</t>
        </is>
      </c>
      <c r="B1101" s="6" t="inlineStr">
        <is>
          <t>智能穿戴</t>
        </is>
      </c>
      <c r="C1101" s="6" t="inlineStr">
        <is>
          <t>西部</t>
        </is>
      </c>
      <c r="D1101" s="6" t="inlineStr">
        <is>
          <t>陈静</t>
        </is>
      </c>
      <c r="E1101" s="6" t="inlineStr">
        <is>
          <t>天天向上健身</t>
        </is>
      </c>
      <c r="F1101" s="7" t="n">
        <v>62600</v>
      </c>
      <c r="G1101" s="7" t="n">
        <v>37000</v>
      </c>
      <c r="H1101" s="7" t="n">
        <v>25600</v>
      </c>
      <c r="I1101" s="8" t="n">
        <v>0.4089456869009584</v>
      </c>
    </row>
    <row r="1102">
      <c r="A1102" s="6" t="inlineStr">
        <is>
          <t>2025-12</t>
        </is>
      </c>
      <c r="B1102" s="6" t="inlineStr">
        <is>
          <t>篮球装备</t>
        </is>
      </c>
      <c r="C1102" s="6" t="inlineStr">
        <is>
          <t>华东</t>
        </is>
      </c>
      <c r="D1102" s="6" t="inlineStr">
        <is>
          <t>张伟</t>
        </is>
      </c>
      <c r="E1102" s="6" t="inlineStr">
        <is>
          <t>悍将运动</t>
        </is>
      </c>
      <c r="F1102" s="7" t="n">
        <v>150700</v>
      </c>
      <c r="G1102" s="7" t="n">
        <v>98400</v>
      </c>
      <c r="H1102" s="7" t="n">
        <v>52300</v>
      </c>
      <c r="I1102" s="8" t="n">
        <v>0.3470471134704711</v>
      </c>
    </row>
    <row r="1103">
      <c r="A1103" s="6" t="inlineStr">
        <is>
          <t>2025-12</t>
        </is>
      </c>
      <c r="B1103" s="6" t="inlineStr">
        <is>
          <t>篮球装备</t>
        </is>
      </c>
      <c r="C1103" s="6" t="inlineStr">
        <is>
          <t>华东</t>
        </is>
      </c>
      <c r="D1103" s="6" t="inlineStr">
        <is>
          <t>李娜</t>
        </is>
      </c>
      <c r="E1103" s="6" t="inlineStr">
        <is>
          <t>童行运动馆</t>
        </is>
      </c>
      <c r="F1103" s="7" t="n">
        <v>159000</v>
      </c>
      <c r="G1103" s="7" t="n">
        <v>101500</v>
      </c>
      <c r="H1103" s="7" t="n">
        <v>57500</v>
      </c>
      <c r="I1103" s="8" t="n">
        <v>0.3616352201257861</v>
      </c>
    </row>
    <row r="1104">
      <c r="A1104" s="6" t="inlineStr">
        <is>
          <t>2025-12</t>
        </is>
      </c>
      <c r="B1104" s="6" t="inlineStr">
        <is>
          <t>篮球装备</t>
        </is>
      </c>
      <c r="C1104" s="6" t="inlineStr">
        <is>
          <t>华东</t>
        </is>
      </c>
      <c r="D1104" s="6" t="inlineStr">
        <is>
          <t>王芳</t>
        </is>
      </c>
      <c r="E1104" s="6" t="inlineStr">
        <is>
          <t>成长树运动馆</t>
        </is>
      </c>
      <c r="F1104" s="7" t="n">
        <v>138200</v>
      </c>
      <c r="G1104" s="7" t="n">
        <v>92300</v>
      </c>
      <c r="H1104" s="7" t="n">
        <v>45900</v>
      </c>
      <c r="I1104" s="8" t="n">
        <v>0.3321273516642547</v>
      </c>
    </row>
    <row r="1105">
      <c r="A1105" s="6" t="inlineStr">
        <is>
          <t>2025-12</t>
        </is>
      </c>
      <c r="B1105" s="6" t="inlineStr">
        <is>
          <t>篮球装备</t>
        </is>
      </c>
      <c r="C1105" s="6" t="inlineStr">
        <is>
          <t>华东</t>
        </is>
      </c>
      <c r="D1105" s="6" t="inlineStr">
        <is>
          <t>刘强</t>
        </is>
      </c>
      <c r="E1105" s="6" t="inlineStr">
        <is>
          <t>活力无限健身</t>
        </is>
      </c>
      <c r="F1105" s="7" t="n">
        <v>159200</v>
      </c>
      <c r="G1105" s="7" t="n">
        <v>104700</v>
      </c>
      <c r="H1105" s="7" t="n">
        <v>54500</v>
      </c>
      <c r="I1105" s="8" t="n">
        <v>0.3423366834170855</v>
      </c>
    </row>
    <row r="1106">
      <c r="A1106" s="6" t="inlineStr">
        <is>
          <t>2025-12</t>
        </is>
      </c>
      <c r="B1106" s="6" t="inlineStr">
        <is>
          <t>篮球装备</t>
        </is>
      </c>
      <c r="C1106" s="6" t="inlineStr">
        <is>
          <t>华东</t>
        </is>
      </c>
      <c r="D1106" s="6" t="inlineStr">
        <is>
          <t>陈静</t>
        </is>
      </c>
      <c r="E1106" s="6" t="inlineStr">
        <is>
          <t>恒康营养</t>
        </is>
      </c>
      <c r="F1106" s="7" t="n">
        <v>148800</v>
      </c>
      <c r="G1106" s="7" t="n">
        <v>97200</v>
      </c>
      <c r="H1106" s="7" t="n">
        <v>51600</v>
      </c>
      <c r="I1106" s="8" t="n">
        <v>0.3467741935483871</v>
      </c>
    </row>
    <row r="1107">
      <c r="A1107" s="6" t="inlineStr">
        <is>
          <t>2025-12</t>
        </is>
      </c>
      <c r="B1107" s="6" t="inlineStr">
        <is>
          <t>篮球装备</t>
        </is>
      </c>
      <c r="C1107" s="6" t="inlineStr">
        <is>
          <t>华北</t>
        </is>
      </c>
      <c r="D1107" s="6" t="inlineStr">
        <is>
          <t>张伟</t>
        </is>
      </c>
      <c r="E1107" s="6" t="inlineStr">
        <is>
          <t>动能营养</t>
        </is>
      </c>
      <c r="F1107" s="7" t="n">
        <v>128000</v>
      </c>
      <c r="G1107" s="7" t="n">
        <v>80200</v>
      </c>
      <c r="H1107" s="7" t="n">
        <v>47800</v>
      </c>
      <c r="I1107" s="8" t="n">
        <v>0.3734375</v>
      </c>
    </row>
    <row r="1108">
      <c r="A1108" s="6" t="inlineStr">
        <is>
          <t>2025-12</t>
        </is>
      </c>
      <c r="B1108" s="6" t="inlineStr">
        <is>
          <t>篮球装备</t>
        </is>
      </c>
      <c r="C1108" s="6" t="inlineStr">
        <is>
          <t>华北</t>
        </is>
      </c>
      <c r="D1108" s="6" t="inlineStr">
        <is>
          <t>李娜</t>
        </is>
      </c>
      <c r="E1108" s="6" t="inlineStr">
        <is>
          <t>锋行体育</t>
        </is>
      </c>
      <c r="F1108" s="7" t="n">
        <v>106700</v>
      </c>
      <c r="G1108" s="7" t="n">
        <v>69600</v>
      </c>
      <c r="H1108" s="7" t="n">
        <v>37100</v>
      </c>
      <c r="I1108" s="8" t="n">
        <v>0.3477038425492034</v>
      </c>
    </row>
    <row r="1109">
      <c r="A1109" s="6" t="inlineStr">
        <is>
          <t>2025-12</t>
        </is>
      </c>
      <c r="B1109" s="6" t="inlineStr">
        <is>
          <t>篮球装备</t>
        </is>
      </c>
      <c r="C1109" s="6" t="inlineStr">
        <is>
          <t>华北</t>
        </is>
      </c>
      <c r="D1109" s="6" t="inlineStr">
        <is>
          <t>王芳</t>
        </is>
      </c>
      <c r="E1109" s="6" t="inlineStr">
        <is>
          <t>跃动少儿运动馆</t>
        </is>
      </c>
      <c r="F1109" s="7" t="n">
        <v>114200</v>
      </c>
      <c r="G1109" s="7" t="n">
        <v>74700</v>
      </c>
      <c r="H1109" s="7" t="n">
        <v>39500</v>
      </c>
      <c r="I1109" s="8" t="n">
        <v>0.3458844133099825</v>
      </c>
    </row>
    <row r="1110">
      <c r="A1110" s="6" t="inlineStr">
        <is>
          <t>2025-12</t>
        </is>
      </c>
      <c r="B1110" s="6" t="inlineStr">
        <is>
          <t>篮球装备</t>
        </is>
      </c>
      <c r="C1110" s="6" t="inlineStr">
        <is>
          <t>华北</t>
        </is>
      </c>
      <c r="D1110" s="6" t="inlineStr">
        <is>
          <t>刘强</t>
        </is>
      </c>
      <c r="E1110" s="6" t="inlineStr">
        <is>
          <t>健将体育</t>
        </is>
      </c>
      <c r="F1110" s="7" t="n">
        <v>100700</v>
      </c>
      <c r="G1110" s="7" t="n">
        <v>63000</v>
      </c>
      <c r="H1110" s="7" t="n">
        <v>37700</v>
      </c>
      <c r="I1110" s="8" t="n">
        <v>0.3743793445878848</v>
      </c>
    </row>
    <row r="1111">
      <c r="A1111" s="6" t="inlineStr">
        <is>
          <t>2025-12</t>
        </is>
      </c>
      <c r="B1111" s="6" t="inlineStr">
        <is>
          <t>篮球装备</t>
        </is>
      </c>
      <c r="C1111" s="6" t="inlineStr">
        <is>
          <t>华北</t>
        </is>
      </c>
      <c r="D1111" s="6" t="inlineStr">
        <is>
          <t>陈静</t>
        </is>
      </c>
      <c r="E1111" s="6" t="inlineStr">
        <is>
          <t>智练体育</t>
        </is>
      </c>
      <c r="F1111" s="7" t="n">
        <v>102000</v>
      </c>
      <c r="G1111" s="7" t="n">
        <v>68600</v>
      </c>
      <c r="H1111" s="7" t="n">
        <v>33400</v>
      </c>
      <c r="I1111" s="8" t="n">
        <v>0.3274509803921569</v>
      </c>
    </row>
    <row r="1112">
      <c r="A1112" s="6" t="inlineStr">
        <is>
          <t>2025-12</t>
        </is>
      </c>
      <c r="B1112" s="6" t="inlineStr">
        <is>
          <t>篮球装备</t>
        </is>
      </c>
      <c r="C1112" s="6" t="inlineStr">
        <is>
          <t>华南</t>
        </is>
      </c>
      <c r="D1112" s="6" t="inlineStr">
        <is>
          <t>张伟</t>
        </is>
      </c>
      <c r="E1112" s="6" t="inlineStr">
        <is>
          <t>锋行体育</t>
        </is>
      </c>
      <c r="F1112" s="7" t="n">
        <v>113700</v>
      </c>
      <c r="G1112" s="7" t="n">
        <v>74800</v>
      </c>
      <c r="H1112" s="7" t="n">
        <v>38900</v>
      </c>
      <c r="I1112" s="8" t="n">
        <v>0.3421284080914688</v>
      </c>
    </row>
    <row r="1113">
      <c r="A1113" s="6" t="inlineStr">
        <is>
          <t>2025-12</t>
        </is>
      </c>
      <c r="B1113" s="6" t="inlineStr">
        <is>
          <t>篮球装备</t>
        </is>
      </c>
      <c r="C1113" s="6" t="inlineStr">
        <is>
          <t>华南</t>
        </is>
      </c>
      <c r="D1113" s="6" t="inlineStr">
        <is>
          <t>李娜</t>
        </is>
      </c>
      <c r="E1113" s="6" t="inlineStr">
        <is>
          <t>锐动体育用品</t>
        </is>
      </c>
      <c r="F1113" s="7" t="n">
        <v>117000</v>
      </c>
      <c r="G1113" s="7" t="n">
        <v>74900</v>
      </c>
      <c r="H1113" s="7" t="n">
        <v>42100</v>
      </c>
      <c r="I1113" s="8" t="n">
        <v>0.3598290598290598</v>
      </c>
    </row>
    <row r="1114">
      <c r="A1114" s="6" t="inlineStr">
        <is>
          <t>2025-12</t>
        </is>
      </c>
      <c r="B1114" s="6" t="inlineStr">
        <is>
          <t>篮球装备</t>
        </is>
      </c>
      <c r="C1114" s="6" t="inlineStr">
        <is>
          <t>华南</t>
        </is>
      </c>
      <c r="D1114" s="6" t="inlineStr">
        <is>
          <t>王芳</t>
        </is>
      </c>
      <c r="E1114" s="6" t="inlineStr">
        <is>
          <t>动能营养</t>
        </is>
      </c>
      <c r="F1114" s="7" t="n">
        <v>127600</v>
      </c>
      <c r="G1114" s="7" t="n">
        <v>79300</v>
      </c>
      <c r="H1114" s="7" t="n">
        <v>48300</v>
      </c>
      <c r="I1114" s="8" t="n">
        <v>0.3785266457680251</v>
      </c>
    </row>
    <row r="1115">
      <c r="A1115" s="6" t="inlineStr">
        <is>
          <t>2025-12</t>
        </is>
      </c>
      <c r="B1115" s="6" t="inlineStr">
        <is>
          <t>篮球装备</t>
        </is>
      </c>
      <c r="C1115" s="6" t="inlineStr">
        <is>
          <t>华南</t>
        </is>
      </c>
      <c r="D1115" s="6" t="inlineStr">
        <is>
          <t>刘强</t>
        </is>
      </c>
      <c r="E1115" s="6" t="inlineStr">
        <is>
          <t>劲爆运动用品</t>
        </is>
      </c>
      <c r="F1115" s="7" t="n">
        <v>109100</v>
      </c>
      <c r="G1115" s="7" t="n">
        <v>72300</v>
      </c>
      <c r="H1115" s="7" t="n">
        <v>36800</v>
      </c>
      <c r="I1115" s="8" t="n">
        <v>0.3373052245646196</v>
      </c>
    </row>
    <row r="1116">
      <c r="A1116" s="6" t="inlineStr">
        <is>
          <t>2025-12</t>
        </is>
      </c>
      <c r="B1116" s="6" t="inlineStr">
        <is>
          <t>篮球装备</t>
        </is>
      </c>
      <c r="C1116" s="6" t="inlineStr">
        <is>
          <t>华南</t>
        </is>
      </c>
      <c r="D1116" s="6" t="inlineStr">
        <is>
          <t>陈静</t>
        </is>
      </c>
      <c r="E1116" s="6" t="inlineStr">
        <is>
          <t>成长树运动馆</t>
        </is>
      </c>
      <c r="F1116" s="7" t="n">
        <v>104600</v>
      </c>
      <c r="G1116" s="7" t="n">
        <v>68300</v>
      </c>
      <c r="H1116" s="7" t="n">
        <v>36300</v>
      </c>
      <c r="I1116" s="8" t="n">
        <v>0.347036328871893</v>
      </c>
    </row>
    <row r="1117">
      <c r="A1117" s="6" t="inlineStr">
        <is>
          <t>2025-12</t>
        </is>
      </c>
      <c r="B1117" s="6" t="inlineStr">
        <is>
          <t>篮球装备</t>
        </is>
      </c>
      <c r="C1117" s="6" t="inlineStr">
        <is>
          <t>西部</t>
        </is>
      </c>
      <c r="D1117" s="6" t="inlineStr">
        <is>
          <t>张伟</t>
        </is>
      </c>
      <c r="E1117" s="6" t="inlineStr">
        <is>
          <t>康威运动商城</t>
        </is>
      </c>
      <c r="F1117" s="7" t="n">
        <v>73800</v>
      </c>
      <c r="G1117" s="7" t="n">
        <v>49800</v>
      </c>
      <c r="H1117" s="7" t="n">
        <v>24000</v>
      </c>
      <c r="I1117" s="8" t="n">
        <v>0.3252032520325203</v>
      </c>
    </row>
    <row r="1118">
      <c r="A1118" s="6" t="inlineStr">
        <is>
          <t>2025-12</t>
        </is>
      </c>
      <c r="B1118" s="6" t="inlineStr">
        <is>
          <t>篮球装备</t>
        </is>
      </c>
      <c r="C1118" s="6" t="inlineStr">
        <is>
          <t>西部</t>
        </is>
      </c>
      <c r="D1118" s="6" t="inlineStr">
        <is>
          <t>李娜</t>
        </is>
      </c>
      <c r="E1118" s="6" t="inlineStr">
        <is>
          <t>超能体育</t>
        </is>
      </c>
      <c r="F1118" s="7" t="n">
        <v>79300</v>
      </c>
      <c r="G1118" s="7" t="n">
        <v>52200</v>
      </c>
      <c r="H1118" s="7" t="n">
        <v>27100</v>
      </c>
      <c r="I1118" s="8" t="n">
        <v>0.3417402269861286</v>
      </c>
    </row>
    <row r="1119">
      <c r="A1119" s="6" t="inlineStr">
        <is>
          <t>2025-12</t>
        </is>
      </c>
      <c r="B1119" s="6" t="inlineStr">
        <is>
          <t>篮球装备</t>
        </is>
      </c>
      <c r="C1119" s="6" t="inlineStr">
        <is>
          <t>西部</t>
        </is>
      </c>
      <c r="D1119" s="6" t="inlineStr">
        <is>
          <t>王芳</t>
        </is>
      </c>
      <c r="E1119" s="6" t="inlineStr">
        <is>
          <t>巅峰运动</t>
        </is>
      </c>
      <c r="F1119" s="7" t="n">
        <v>94600</v>
      </c>
      <c r="G1119" s="7" t="n">
        <v>62000</v>
      </c>
      <c r="H1119" s="7" t="n">
        <v>32600</v>
      </c>
      <c r="I1119" s="8" t="n">
        <v>0.3446088794926004</v>
      </c>
    </row>
    <row r="1120">
      <c r="A1120" s="6" t="inlineStr">
        <is>
          <t>2025-12</t>
        </is>
      </c>
      <c r="B1120" s="6" t="inlineStr">
        <is>
          <t>篮球装备</t>
        </is>
      </c>
      <c r="C1120" s="6" t="inlineStr">
        <is>
          <t>西部</t>
        </is>
      </c>
      <c r="D1120" s="6" t="inlineStr">
        <is>
          <t>刘强</t>
        </is>
      </c>
      <c r="E1120" s="6" t="inlineStr">
        <is>
          <t>小飞侠运动俱乐部</t>
        </is>
      </c>
      <c r="F1120" s="7" t="n">
        <v>86200</v>
      </c>
      <c r="G1120" s="7" t="n">
        <v>54500</v>
      </c>
      <c r="H1120" s="7" t="n">
        <v>31700</v>
      </c>
      <c r="I1120" s="8" t="n">
        <v>0.3677494199535963</v>
      </c>
    </row>
    <row r="1121">
      <c r="A1121" s="6" t="inlineStr">
        <is>
          <t>2025-12</t>
        </is>
      </c>
      <c r="B1121" s="6" t="inlineStr">
        <is>
          <t>篮球装备</t>
        </is>
      </c>
      <c r="C1121" s="6" t="inlineStr">
        <is>
          <t>西部</t>
        </is>
      </c>
      <c r="D1121" s="6" t="inlineStr">
        <is>
          <t>陈静</t>
        </is>
      </c>
      <c r="E1121" s="6" t="inlineStr">
        <is>
          <t>卓越体能训练营</t>
        </is>
      </c>
      <c r="F1121" s="7" t="n">
        <v>85500</v>
      </c>
      <c r="G1121" s="7" t="n">
        <v>53800</v>
      </c>
      <c r="H1121" s="7" t="n">
        <v>31700</v>
      </c>
      <c r="I1121" s="8" t="n">
        <v>0.3707602339181287</v>
      </c>
    </row>
    <row r="1122">
      <c r="A1122" s="6" t="inlineStr">
        <is>
          <t>2025-12</t>
        </is>
      </c>
      <c r="B1122" s="6" t="inlineStr">
        <is>
          <t>体适能器材</t>
        </is>
      </c>
      <c r="C1122" s="6" t="inlineStr">
        <is>
          <t>华东</t>
        </is>
      </c>
      <c r="D1122" s="6" t="inlineStr">
        <is>
          <t>张伟</t>
        </is>
      </c>
      <c r="E1122" s="6" t="inlineStr">
        <is>
          <t>成长树运动馆</t>
        </is>
      </c>
      <c r="F1122" s="7" t="n">
        <v>103500</v>
      </c>
      <c r="G1122" s="7" t="n">
        <v>71900</v>
      </c>
      <c r="H1122" s="7" t="n">
        <v>31600</v>
      </c>
      <c r="I1122" s="8" t="n">
        <v>0.3053140096618358</v>
      </c>
    </row>
    <row r="1123">
      <c r="A1123" s="6" t="inlineStr">
        <is>
          <t>2025-12</t>
        </is>
      </c>
      <c r="B1123" s="6" t="inlineStr">
        <is>
          <t>体适能器材</t>
        </is>
      </c>
      <c r="C1123" s="6" t="inlineStr">
        <is>
          <t>华东</t>
        </is>
      </c>
      <c r="D1123" s="6" t="inlineStr">
        <is>
          <t>李娜</t>
        </is>
      </c>
      <c r="E1123" s="6" t="inlineStr">
        <is>
          <t>迈步体育</t>
        </is>
      </c>
      <c r="F1123" s="7" t="n">
        <v>120300</v>
      </c>
      <c r="G1123" s="7" t="n">
        <v>82600</v>
      </c>
      <c r="H1123" s="7" t="n">
        <v>37700</v>
      </c>
      <c r="I1123" s="8" t="n">
        <v>0.313383208645054</v>
      </c>
    </row>
    <row r="1124">
      <c r="A1124" s="6" t="inlineStr">
        <is>
          <t>2025-12</t>
        </is>
      </c>
      <c r="B1124" s="6" t="inlineStr">
        <is>
          <t>体适能器材</t>
        </is>
      </c>
      <c r="C1124" s="6" t="inlineStr">
        <is>
          <t>华东</t>
        </is>
      </c>
      <c r="D1124" s="6" t="inlineStr">
        <is>
          <t>王芳</t>
        </is>
      </c>
      <c r="E1124" s="6" t="inlineStr">
        <is>
          <t>领跑体育</t>
        </is>
      </c>
      <c r="F1124" s="7" t="n">
        <v>106600</v>
      </c>
      <c r="G1124" s="7" t="n">
        <v>74800</v>
      </c>
      <c r="H1124" s="7" t="n">
        <v>31800</v>
      </c>
      <c r="I1124" s="8" t="n">
        <v>0.298311444652908</v>
      </c>
    </row>
    <row r="1125">
      <c r="A1125" s="6" t="inlineStr">
        <is>
          <t>2025-12</t>
        </is>
      </c>
      <c r="B1125" s="6" t="inlineStr">
        <is>
          <t>体适能器材</t>
        </is>
      </c>
      <c r="C1125" s="6" t="inlineStr">
        <is>
          <t>华东</t>
        </is>
      </c>
      <c r="D1125" s="6" t="inlineStr">
        <is>
          <t>刘强</t>
        </is>
      </c>
      <c r="E1125" s="6" t="inlineStr">
        <is>
          <t>锐动体育用品</t>
        </is>
      </c>
      <c r="F1125" s="7" t="n">
        <v>101600</v>
      </c>
      <c r="G1125" s="7" t="n">
        <v>70700</v>
      </c>
      <c r="H1125" s="7" t="n">
        <v>30900</v>
      </c>
      <c r="I1125" s="8" t="n">
        <v>0.3041338582677166</v>
      </c>
    </row>
    <row r="1126">
      <c r="A1126" s="6" t="inlineStr">
        <is>
          <t>2025-12</t>
        </is>
      </c>
      <c r="B1126" s="6" t="inlineStr">
        <is>
          <t>体适能器材</t>
        </is>
      </c>
      <c r="C1126" s="6" t="inlineStr">
        <is>
          <t>华东</t>
        </is>
      </c>
      <c r="D1126" s="6" t="inlineStr">
        <is>
          <t>陈静</t>
        </is>
      </c>
      <c r="E1126" s="6" t="inlineStr">
        <is>
          <t>茁长少儿体适能</t>
        </is>
      </c>
      <c r="F1126" s="7" t="n">
        <v>119800</v>
      </c>
      <c r="G1126" s="7" t="n">
        <v>83900</v>
      </c>
      <c r="H1126" s="7" t="n">
        <v>35900</v>
      </c>
      <c r="I1126" s="8" t="n">
        <v>0.2996661101836394</v>
      </c>
    </row>
    <row r="1127">
      <c r="A1127" s="6" t="inlineStr">
        <is>
          <t>2025-12</t>
        </is>
      </c>
      <c r="B1127" s="6" t="inlineStr">
        <is>
          <t>体适能器材</t>
        </is>
      </c>
      <c r="C1127" s="6" t="inlineStr">
        <is>
          <t>华北</t>
        </is>
      </c>
      <c r="D1127" s="6" t="inlineStr">
        <is>
          <t>张伟</t>
        </is>
      </c>
      <c r="E1127" s="6" t="inlineStr">
        <is>
          <t>成长树运动馆</t>
        </is>
      </c>
      <c r="F1127" s="7" t="n">
        <v>79700</v>
      </c>
      <c r="G1127" s="7" t="n">
        <v>57000</v>
      </c>
      <c r="H1127" s="7" t="n">
        <v>22700</v>
      </c>
      <c r="I1127" s="8" t="n">
        <v>0.2848180677540778</v>
      </c>
    </row>
    <row r="1128">
      <c r="A1128" s="6" t="inlineStr">
        <is>
          <t>2025-12</t>
        </is>
      </c>
      <c r="B1128" s="6" t="inlineStr">
        <is>
          <t>体适能器材</t>
        </is>
      </c>
      <c r="C1128" s="6" t="inlineStr">
        <is>
          <t>华北</t>
        </is>
      </c>
      <c r="D1128" s="6" t="inlineStr">
        <is>
          <t>李娜</t>
        </is>
      </c>
      <c r="E1128" s="6" t="inlineStr">
        <is>
          <t>飞跃训练营</t>
        </is>
      </c>
      <c r="F1128" s="7" t="n">
        <v>75300</v>
      </c>
      <c r="G1128" s="7" t="n">
        <v>50800</v>
      </c>
      <c r="H1128" s="7" t="n">
        <v>24500</v>
      </c>
      <c r="I1128" s="8" t="n">
        <v>0.3253652058432935</v>
      </c>
    </row>
    <row r="1129">
      <c r="A1129" s="6" t="inlineStr">
        <is>
          <t>2025-12</t>
        </is>
      </c>
      <c r="B1129" s="6" t="inlineStr">
        <is>
          <t>体适能器材</t>
        </is>
      </c>
      <c r="C1129" s="6" t="inlineStr">
        <is>
          <t>华北</t>
        </is>
      </c>
      <c r="D1129" s="6" t="inlineStr">
        <is>
          <t>王芳</t>
        </is>
      </c>
      <c r="E1129" s="6" t="inlineStr">
        <is>
          <t>优加体能中心</t>
        </is>
      </c>
      <c r="F1129" s="7" t="n">
        <v>99700</v>
      </c>
      <c r="G1129" s="7" t="n">
        <v>68600</v>
      </c>
      <c r="H1129" s="7" t="n">
        <v>31100</v>
      </c>
      <c r="I1129" s="8" t="n">
        <v>0.3119358074222668</v>
      </c>
    </row>
    <row r="1130">
      <c r="A1130" s="6" t="inlineStr">
        <is>
          <t>2025-12</t>
        </is>
      </c>
      <c r="B1130" s="6" t="inlineStr">
        <is>
          <t>体适能器材</t>
        </is>
      </c>
      <c r="C1130" s="6" t="inlineStr">
        <is>
          <t>华北</t>
        </is>
      </c>
      <c r="D1130" s="6" t="inlineStr">
        <is>
          <t>刘强</t>
        </is>
      </c>
      <c r="E1130" s="6" t="inlineStr">
        <is>
          <t>小小运动家</t>
        </is>
      </c>
      <c r="F1130" s="7" t="n">
        <v>76700</v>
      </c>
      <c r="G1130" s="7" t="n">
        <v>55500</v>
      </c>
      <c r="H1130" s="7" t="n">
        <v>21200</v>
      </c>
      <c r="I1130" s="8" t="n">
        <v>0.2764015645371578</v>
      </c>
    </row>
    <row r="1131">
      <c r="A1131" s="6" t="inlineStr">
        <is>
          <t>2025-12</t>
        </is>
      </c>
      <c r="B1131" s="6" t="inlineStr">
        <is>
          <t>体适能器材</t>
        </is>
      </c>
      <c r="C1131" s="6" t="inlineStr">
        <is>
          <t>华北</t>
        </is>
      </c>
      <c r="D1131" s="6" t="inlineStr">
        <is>
          <t>陈静</t>
        </is>
      </c>
      <c r="E1131" s="6" t="inlineStr">
        <is>
          <t>跃动少儿运动馆</t>
        </is>
      </c>
      <c r="F1131" s="7" t="n">
        <v>85400</v>
      </c>
      <c r="G1131" s="7" t="n">
        <v>58700</v>
      </c>
      <c r="H1131" s="7" t="n">
        <v>26700</v>
      </c>
      <c r="I1131" s="8" t="n">
        <v>0.3126463700234192</v>
      </c>
    </row>
    <row r="1132">
      <c r="A1132" s="6" t="inlineStr">
        <is>
          <t>2025-12</t>
        </is>
      </c>
      <c r="B1132" s="6" t="inlineStr">
        <is>
          <t>体适能器材</t>
        </is>
      </c>
      <c r="C1132" s="6" t="inlineStr">
        <is>
          <t>华南</t>
        </is>
      </c>
      <c r="D1132" s="6" t="inlineStr">
        <is>
          <t>张伟</t>
        </is>
      </c>
      <c r="E1132" s="6" t="inlineStr">
        <is>
          <t>锋行体育</t>
        </is>
      </c>
      <c r="F1132" s="7" t="n">
        <v>93800</v>
      </c>
      <c r="G1132" s="7" t="n">
        <v>67700</v>
      </c>
      <c r="H1132" s="7" t="n">
        <v>26100</v>
      </c>
      <c r="I1132" s="8" t="n">
        <v>0.2782515991471216</v>
      </c>
    </row>
    <row r="1133">
      <c r="A1133" s="6" t="inlineStr">
        <is>
          <t>2025-12</t>
        </is>
      </c>
      <c r="B1133" s="6" t="inlineStr">
        <is>
          <t>体适能器材</t>
        </is>
      </c>
      <c r="C1133" s="6" t="inlineStr">
        <is>
          <t>华南</t>
        </is>
      </c>
      <c r="D1133" s="6" t="inlineStr">
        <is>
          <t>李娜</t>
        </is>
      </c>
      <c r="E1133" s="6" t="inlineStr">
        <is>
          <t>锋行体育</t>
        </is>
      </c>
      <c r="F1133" s="7" t="n">
        <v>95600</v>
      </c>
      <c r="G1133" s="7" t="n">
        <v>67200</v>
      </c>
      <c r="H1133" s="7" t="n">
        <v>28400</v>
      </c>
      <c r="I1133" s="8" t="n">
        <v>0.297071129707113</v>
      </c>
    </row>
    <row r="1134">
      <c r="A1134" s="6" t="inlineStr">
        <is>
          <t>2025-12</t>
        </is>
      </c>
      <c r="B1134" s="6" t="inlineStr">
        <is>
          <t>体适能器材</t>
        </is>
      </c>
      <c r="C1134" s="6" t="inlineStr">
        <is>
          <t>华南</t>
        </is>
      </c>
      <c r="D1134" s="6" t="inlineStr">
        <is>
          <t>王芳</t>
        </is>
      </c>
      <c r="E1134" s="6" t="inlineStr">
        <is>
          <t>迈步体育</t>
        </is>
      </c>
      <c r="F1134" s="7" t="n">
        <v>106200</v>
      </c>
      <c r="G1134" s="7" t="n">
        <v>77200</v>
      </c>
      <c r="H1134" s="7" t="n">
        <v>29000</v>
      </c>
      <c r="I1134" s="8" t="n">
        <v>0.2730696798493409</v>
      </c>
    </row>
    <row r="1135">
      <c r="A1135" s="6" t="inlineStr">
        <is>
          <t>2025-12</t>
        </is>
      </c>
      <c r="B1135" s="6" t="inlineStr">
        <is>
          <t>体适能器材</t>
        </is>
      </c>
      <c r="C1135" s="6" t="inlineStr">
        <is>
          <t>华南</t>
        </is>
      </c>
      <c r="D1135" s="6" t="inlineStr">
        <is>
          <t>刘强</t>
        </is>
      </c>
      <c r="E1135" s="6" t="inlineStr">
        <is>
          <t>元气营养</t>
        </is>
      </c>
      <c r="F1135" s="7" t="n">
        <v>85300</v>
      </c>
      <c r="G1135" s="7" t="n">
        <v>57500</v>
      </c>
      <c r="H1135" s="7" t="n">
        <v>27800</v>
      </c>
      <c r="I1135" s="8" t="n">
        <v>0.3259085580304806</v>
      </c>
    </row>
    <row r="1136">
      <c r="A1136" s="6" t="inlineStr">
        <is>
          <t>2025-12</t>
        </is>
      </c>
      <c r="B1136" s="6" t="inlineStr">
        <is>
          <t>体适能器材</t>
        </is>
      </c>
      <c r="C1136" s="6" t="inlineStr">
        <is>
          <t>华南</t>
        </is>
      </c>
      <c r="D1136" s="6" t="inlineStr">
        <is>
          <t>陈静</t>
        </is>
      </c>
      <c r="E1136" s="6" t="inlineStr">
        <is>
          <t>优加体能中心</t>
        </is>
      </c>
      <c r="F1136" s="7" t="n">
        <v>98200</v>
      </c>
      <c r="G1136" s="7" t="n">
        <v>68100</v>
      </c>
      <c r="H1136" s="7" t="n">
        <v>30100</v>
      </c>
      <c r="I1136" s="8" t="n">
        <v>0.3065173116089613</v>
      </c>
    </row>
    <row r="1137">
      <c r="A1137" s="6" t="inlineStr">
        <is>
          <t>2025-12</t>
        </is>
      </c>
      <c r="B1137" s="6" t="inlineStr">
        <is>
          <t>体适能器材</t>
        </is>
      </c>
      <c r="C1137" s="6" t="inlineStr">
        <is>
          <t>西部</t>
        </is>
      </c>
      <c r="D1137" s="6" t="inlineStr">
        <is>
          <t>张伟</t>
        </is>
      </c>
      <c r="E1137" s="6" t="inlineStr">
        <is>
          <t>活力无限健身</t>
        </is>
      </c>
      <c r="F1137" s="7" t="n">
        <v>54100</v>
      </c>
      <c r="G1137" s="7" t="n">
        <v>36500</v>
      </c>
      <c r="H1137" s="7" t="n">
        <v>17600</v>
      </c>
      <c r="I1137" s="8" t="n">
        <v>0.3253234750462107</v>
      </c>
    </row>
    <row r="1138">
      <c r="A1138" s="6" t="inlineStr">
        <is>
          <t>2025-12</t>
        </is>
      </c>
      <c r="B1138" s="6" t="inlineStr">
        <is>
          <t>体适能器材</t>
        </is>
      </c>
      <c r="C1138" s="6" t="inlineStr">
        <is>
          <t>西部</t>
        </is>
      </c>
      <c r="D1138" s="6" t="inlineStr">
        <is>
          <t>李娜</t>
        </is>
      </c>
      <c r="E1138" s="6" t="inlineStr">
        <is>
          <t>动能营养</t>
        </is>
      </c>
      <c r="F1138" s="7" t="n">
        <v>53800</v>
      </c>
      <c r="G1138" s="7" t="n">
        <v>38200</v>
      </c>
      <c r="H1138" s="7" t="n">
        <v>15600</v>
      </c>
      <c r="I1138" s="8" t="n">
        <v>0.2899628252788104</v>
      </c>
    </row>
    <row r="1139">
      <c r="A1139" s="6" t="inlineStr">
        <is>
          <t>2025-12</t>
        </is>
      </c>
      <c r="B1139" s="6" t="inlineStr">
        <is>
          <t>体适能器材</t>
        </is>
      </c>
      <c r="C1139" s="6" t="inlineStr">
        <is>
          <t>西部</t>
        </is>
      </c>
      <c r="D1139" s="6" t="inlineStr">
        <is>
          <t>王芳</t>
        </is>
      </c>
      <c r="E1139" s="6" t="inlineStr">
        <is>
          <t>星跃体育</t>
        </is>
      </c>
      <c r="F1139" s="7" t="n">
        <v>64800</v>
      </c>
      <c r="G1139" s="7" t="n">
        <v>46600</v>
      </c>
      <c r="H1139" s="7" t="n">
        <v>18200</v>
      </c>
      <c r="I1139" s="8" t="n">
        <v>0.2808641975308642</v>
      </c>
    </row>
    <row r="1140">
      <c r="A1140" s="6" t="inlineStr">
        <is>
          <t>2025-12</t>
        </is>
      </c>
      <c r="B1140" s="6" t="inlineStr">
        <is>
          <t>体适能器材</t>
        </is>
      </c>
      <c r="C1140" s="6" t="inlineStr">
        <is>
          <t>西部</t>
        </is>
      </c>
      <c r="D1140" s="6" t="inlineStr">
        <is>
          <t>刘强</t>
        </is>
      </c>
      <c r="E1140" s="6" t="inlineStr">
        <is>
          <t>篮途体育文化</t>
        </is>
      </c>
      <c r="F1140" s="7" t="n">
        <v>60800</v>
      </c>
      <c r="G1140" s="7" t="n">
        <v>41900</v>
      </c>
      <c r="H1140" s="7" t="n">
        <v>18900</v>
      </c>
      <c r="I1140" s="8" t="n">
        <v>0.3108552631578947</v>
      </c>
    </row>
    <row r="1141">
      <c r="A1141" s="6" t="inlineStr">
        <is>
          <t>2025-12</t>
        </is>
      </c>
      <c r="B1141" s="6" t="inlineStr">
        <is>
          <t>体适能器材</t>
        </is>
      </c>
      <c r="C1141" s="6" t="inlineStr">
        <is>
          <t>西部</t>
        </is>
      </c>
      <c r="D1141" s="6" t="inlineStr">
        <is>
          <t>陈静</t>
        </is>
      </c>
      <c r="E1141" s="6" t="inlineStr">
        <is>
          <t>锋行体育</t>
        </is>
      </c>
      <c r="F1141" s="7" t="n">
        <v>56300</v>
      </c>
      <c r="G1141" s="7" t="n">
        <v>37900</v>
      </c>
      <c r="H1141" s="7" t="n">
        <v>18400</v>
      </c>
      <c r="I1141" s="8" t="n">
        <v>0.3268206039076377</v>
      </c>
    </row>
    <row r="1142">
      <c r="A1142" s="6" t="inlineStr">
        <is>
          <t>2025-12</t>
        </is>
      </c>
      <c r="B1142" s="6" t="inlineStr">
        <is>
          <t>训练服饰</t>
        </is>
      </c>
      <c r="C1142" s="6" t="inlineStr">
        <is>
          <t>华东</t>
        </is>
      </c>
      <c r="D1142" s="6" t="inlineStr">
        <is>
          <t>张伟</t>
        </is>
      </c>
      <c r="E1142" s="6" t="inlineStr">
        <is>
          <t>巅峰运动</t>
        </is>
      </c>
      <c r="F1142" s="7" t="n">
        <v>78900</v>
      </c>
      <c r="G1142" s="7" t="n">
        <v>42000</v>
      </c>
      <c r="H1142" s="7" t="n">
        <v>36900</v>
      </c>
      <c r="I1142" s="8" t="n">
        <v>0.467680608365019</v>
      </c>
    </row>
    <row r="1143">
      <c r="A1143" s="6" t="inlineStr">
        <is>
          <t>2025-12</t>
        </is>
      </c>
      <c r="B1143" s="6" t="inlineStr">
        <is>
          <t>训练服饰</t>
        </is>
      </c>
      <c r="C1143" s="6" t="inlineStr">
        <is>
          <t>华东</t>
        </is>
      </c>
      <c r="D1143" s="6" t="inlineStr">
        <is>
          <t>李娜</t>
        </is>
      </c>
      <c r="E1143" s="6" t="inlineStr">
        <is>
          <t>锐动体育用品</t>
        </is>
      </c>
      <c r="F1143" s="7" t="n">
        <v>83900</v>
      </c>
      <c r="G1143" s="7" t="n">
        <v>46500</v>
      </c>
      <c r="H1143" s="7" t="n">
        <v>37400</v>
      </c>
      <c r="I1143" s="8" t="n">
        <v>0.4457687723480334</v>
      </c>
    </row>
    <row r="1144">
      <c r="A1144" s="6" t="inlineStr">
        <is>
          <t>2025-12</t>
        </is>
      </c>
      <c r="B1144" s="6" t="inlineStr">
        <is>
          <t>训练服饰</t>
        </is>
      </c>
      <c r="C1144" s="6" t="inlineStr">
        <is>
          <t>华东</t>
        </is>
      </c>
      <c r="D1144" s="6" t="inlineStr">
        <is>
          <t>王芳</t>
        </is>
      </c>
      <c r="E1144" s="6" t="inlineStr">
        <is>
          <t>环宇体育</t>
        </is>
      </c>
      <c r="F1144" s="7" t="n">
        <v>88400</v>
      </c>
      <c r="G1144" s="7" t="n">
        <v>50600</v>
      </c>
      <c r="H1144" s="7" t="n">
        <v>37800</v>
      </c>
      <c r="I1144" s="8" t="n">
        <v>0.4276018099547511</v>
      </c>
    </row>
    <row r="1145">
      <c r="A1145" s="6" t="inlineStr">
        <is>
          <t>2025-12</t>
        </is>
      </c>
      <c r="B1145" s="6" t="inlineStr">
        <is>
          <t>训练服饰</t>
        </is>
      </c>
      <c r="C1145" s="6" t="inlineStr">
        <is>
          <t>华东</t>
        </is>
      </c>
      <c r="D1145" s="6" t="inlineStr">
        <is>
          <t>刘强</t>
        </is>
      </c>
      <c r="E1145" s="6" t="inlineStr">
        <is>
          <t>跃动少儿运动馆</t>
        </is>
      </c>
      <c r="F1145" s="7" t="n">
        <v>66700</v>
      </c>
      <c r="G1145" s="7" t="n">
        <v>37200</v>
      </c>
      <c r="H1145" s="7" t="n">
        <v>29500</v>
      </c>
      <c r="I1145" s="8" t="n">
        <v>0.4422788605697152</v>
      </c>
    </row>
    <row r="1146">
      <c r="A1146" s="6" t="inlineStr">
        <is>
          <t>2025-12</t>
        </is>
      </c>
      <c r="B1146" s="6" t="inlineStr">
        <is>
          <t>训练服饰</t>
        </is>
      </c>
      <c r="C1146" s="6" t="inlineStr">
        <is>
          <t>华东</t>
        </is>
      </c>
      <c r="D1146" s="6" t="inlineStr">
        <is>
          <t>陈静</t>
        </is>
      </c>
      <c r="E1146" s="6" t="inlineStr">
        <is>
          <t>巅峰运动</t>
        </is>
      </c>
      <c r="F1146" s="7" t="n">
        <v>72200</v>
      </c>
      <c r="G1146" s="7" t="n">
        <v>39600</v>
      </c>
      <c r="H1146" s="7" t="n">
        <v>32600</v>
      </c>
      <c r="I1146" s="8" t="n">
        <v>0.4515235457063712</v>
      </c>
    </row>
    <row r="1147">
      <c r="A1147" s="6" t="inlineStr">
        <is>
          <t>2025-12</t>
        </is>
      </c>
      <c r="B1147" s="6" t="inlineStr">
        <is>
          <t>训练服饰</t>
        </is>
      </c>
      <c r="C1147" s="6" t="inlineStr">
        <is>
          <t>华北</t>
        </is>
      </c>
      <c r="D1147" s="6" t="inlineStr">
        <is>
          <t>张伟</t>
        </is>
      </c>
      <c r="E1147" s="6" t="inlineStr">
        <is>
          <t>锐动体育用品</t>
        </is>
      </c>
      <c r="F1147" s="7" t="n">
        <v>51200</v>
      </c>
      <c r="G1147" s="7" t="n">
        <v>28300</v>
      </c>
      <c r="H1147" s="7" t="n">
        <v>22900</v>
      </c>
      <c r="I1147" s="8" t="n">
        <v>0.447265625</v>
      </c>
    </row>
    <row r="1148">
      <c r="A1148" s="6" t="inlineStr">
        <is>
          <t>2025-12</t>
        </is>
      </c>
      <c r="B1148" s="6" t="inlineStr">
        <is>
          <t>训练服饰</t>
        </is>
      </c>
      <c r="C1148" s="6" t="inlineStr">
        <is>
          <t>华北</t>
        </is>
      </c>
      <c r="D1148" s="6" t="inlineStr">
        <is>
          <t>李娜</t>
        </is>
      </c>
      <c r="E1148" s="6" t="inlineStr">
        <is>
          <t>元气营养</t>
        </is>
      </c>
      <c r="F1148" s="7" t="n">
        <v>56000</v>
      </c>
      <c r="G1148" s="7" t="n">
        <v>32400</v>
      </c>
      <c r="H1148" s="7" t="n">
        <v>23600</v>
      </c>
      <c r="I1148" s="8" t="n">
        <v>0.4214285714285714</v>
      </c>
    </row>
    <row r="1149">
      <c r="A1149" s="6" t="inlineStr">
        <is>
          <t>2025-12</t>
        </is>
      </c>
      <c r="B1149" s="6" t="inlineStr">
        <is>
          <t>训练服饰</t>
        </is>
      </c>
      <c r="C1149" s="6" t="inlineStr">
        <is>
          <t>华北</t>
        </is>
      </c>
      <c r="D1149" s="6" t="inlineStr">
        <is>
          <t>王芳</t>
        </is>
      </c>
      <c r="E1149" s="6" t="inlineStr">
        <is>
          <t>风尚健身</t>
        </is>
      </c>
      <c r="F1149" s="7" t="n">
        <v>69400</v>
      </c>
      <c r="G1149" s="7" t="n">
        <v>39600</v>
      </c>
      <c r="H1149" s="7" t="n">
        <v>29800</v>
      </c>
      <c r="I1149" s="8" t="n">
        <v>0.4293948126801153</v>
      </c>
    </row>
    <row r="1150">
      <c r="A1150" s="6" t="inlineStr">
        <is>
          <t>2025-12</t>
        </is>
      </c>
      <c r="B1150" s="6" t="inlineStr">
        <is>
          <t>训练服饰</t>
        </is>
      </c>
      <c r="C1150" s="6" t="inlineStr">
        <is>
          <t>华北</t>
        </is>
      </c>
      <c r="D1150" s="6" t="inlineStr">
        <is>
          <t>刘强</t>
        </is>
      </c>
      <c r="E1150" s="6" t="inlineStr">
        <is>
          <t>小小运动家</t>
        </is>
      </c>
      <c r="F1150" s="7" t="n">
        <v>47700</v>
      </c>
      <c r="G1150" s="7" t="n">
        <v>26500</v>
      </c>
      <c r="H1150" s="7" t="n">
        <v>21200</v>
      </c>
      <c r="I1150" s="8" t="n">
        <v>0.4444444444444444</v>
      </c>
    </row>
    <row r="1151">
      <c r="A1151" s="6" t="inlineStr">
        <is>
          <t>2025-12</t>
        </is>
      </c>
      <c r="B1151" s="6" t="inlineStr">
        <is>
          <t>训练服饰</t>
        </is>
      </c>
      <c r="C1151" s="6" t="inlineStr">
        <is>
          <t>华北</t>
        </is>
      </c>
      <c r="D1151" s="6" t="inlineStr">
        <is>
          <t>陈静</t>
        </is>
      </c>
      <c r="E1151" s="6" t="inlineStr">
        <is>
          <t>星跃体育</t>
        </is>
      </c>
      <c r="F1151" s="7" t="n">
        <v>55000</v>
      </c>
      <c r="G1151" s="7" t="n">
        <v>30800</v>
      </c>
      <c r="H1151" s="7" t="n">
        <v>24200</v>
      </c>
      <c r="I1151" s="8" t="n">
        <v>0.44</v>
      </c>
    </row>
    <row r="1152">
      <c r="A1152" s="6" t="inlineStr">
        <is>
          <t>2025-12</t>
        </is>
      </c>
      <c r="B1152" s="6" t="inlineStr">
        <is>
          <t>训练服饰</t>
        </is>
      </c>
      <c r="C1152" s="6" t="inlineStr">
        <is>
          <t>华南</t>
        </is>
      </c>
      <c r="D1152" s="6" t="inlineStr">
        <is>
          <t>张伟</t>
        </is>
      </c>
      <c r="E1152" s="6" t="inlineStr">
        <is>
          <t>阳光体能</t>
        </is>
      </c>
      <c r="F1152" s="7" t="n">
        <v>71300</v>
      </c>
      <c r="G1152" s="7" t="n">
        <v>40100</v>
      </c>
      <c r="H1152" s="7" t="n">
        <v>31200</v>
      </c>
      <c r="I1152" s="8" t="n">
        <v>0.4375876577840112</v>
      </c>
    </row>
    <row r="1153">
      <c r="A1153" s="6" t="inlineStr">
        <is>
          <t>2025-12</t>
        </is>
      </c>
      <c r="B1153" s="6" t="inlineStr">
        <is>
          <t>训练服饰</t>
        </is>
      </c>
      <c r="C1153" s="6" t="inlineStr">
        <is>
          <t>华南</t>
        </is>
      </c>
      <c r="D1153" s="6" t="inlineStr">
        <is>
          <t>李娜</t>
        </is>
      </c>
      <c r="E1153" s="6" t="inlineStr">
        <is>
          <t>迈步体育</t>
        </is>
      </c>
      <c r="F1153" s="7" t="n">
        <v>55600</v>
      </c>
      <c r="G1153" s="7" t="n">
        <v>31200</v>
      </c>
      <c r="H1153" s="7" t="n">
        <v>24400</v>
      </c>
      <c r="I1153" s="8" t="n">
        <v>0.4388489208633093</v>
      </c>
    </row>
    <row r="1154">
      <c r="A1154" s="6" t="inlineStr">
        <is>
          <t>2025-12</t>
        </is>
      </c>
      <c r="B1154" s="6" t="inlineStr">
        <is>
          <t>训练服饰</t>
        </is>
      </c>
      <c r="C1154" s="6" t="inlineStr">
        <is>
          <t>华南</t>
        </is>
      </c>
      <c r="D1154" s="6" t="inlineStr">
        <is>
          <t>王芳</t>
        </is>
      </c>
      <c r="E1154" s="6" t="inlineStr">
        <is>
          <t>动能营养</t>
        </is>
      </c>
      <c r="F1154" s="7" t="n">
        <v>68200</v>
      </c>
      <c r="G1154" s="7" t="n">
        <v>36200</v>
      </c>
      <c r="H1154" s="7" t="n">
        <v>32000</v>
      </c>
      <c r="I1154" s="8" t="n">
        <v>0.469208211143695</v>
      </c>
    </row>
    <row r="1155">
      <c r="A1155" s="6" t="inlineStr">
        <is>
          <t>2025-12</t>
        </is>
      </c>
      <c r="B1155" s="6" t="inlineStr">
        <is>
          <t>训练服饰</t>
        </is>
      </c>
      <c r="C1155" s="6" t="inlineStr">
        <is>
          <t>华南</t>
        </is>
      </c>
      <c r="D1155" s="6" t="inlineStr">
        <is>
          <t>刘强</t>
        </is>
      </c>
      <c r="E1155" s="6" t="inlineStr">
        <is>
          <t>悍将运动</t>
        </is>
      </c>
      <c r="F1155" s="7" t="n">
        <v>57100</v>
      </c>
      <c r="G1155" s="7" t="n">
        <v>32800</v>
      </c>
      <c r="H1155" s="7" t="n">
        <v>24300</v>
      </c>
      <c r="I1155" s="8" t="n">
        <v>0.425569176882662</v>
      </c>
    </row>
    <row r="1156">
      <c r="A1156" s="6" t="inlineStr">
        <is>
          <t>2025-12</t>
        </is>
      </c>
      <c r="B1156" s="6" t="inlineStr">
        <is>
          <t>训练服饰</t>
        </is>
      </c>
      <c r="C1156" s="6" t="inlineStr">
        <is>
          <t>华南</t>
        </is>
      </c>
      <c r="D1156" s="6" t="inlineStr">
        <is>
          <t>陈静</t>
        </is>
      </c>
      <c r="E1156" s="6" t="inlineStr">
        <is>
          <t>智练体育</t>
        </is>
      </c>
      <c r="F1156" s="7" t="n">
        <v>53100</v>
      </c>
      <c r="G1156" s="7" t="n">
        <v>28800</v>
      </c>
      <c r="H1156" s="7" t="n">
        <v>24300</v>
      </c>
      <c r="I1156" s="8" t="n">
        <v>0.4576271186440678</v>
      </c>
    </row>
    <row r="1157">
      <c r="A1157" s="6" t="inlineStr">
        <is>
          <t>2025-12</t>
        </is>
      </c>
      <c r="B1157" s="6" t="inlineStr">
        <is>
          <t>训练服饰</t>
        </is>
      </c>
      <c r="C1157" s="6" t="inlineStr">
        <is>
          <t>西部</t>
        </is>
      </c>
      <c r="D1157" s="6" t="inlineStr">
        <is>
          <t>张伟</t>
        </is>
      </c>
      <c r="E1157" s="6" t="inlineStr">
        <is>
          <t>篮途体育文化</t>
        </is>
      </c>
      <c r="F1157" s="7" t="n">
        <v>41000</v>
      </c>
      <c r="G1157" s="7" t="n">
        <v>22500</v>
      </c>
      <c r="H1157" s="7" t="n">
        <v>18500</v>
      </c>
      <c r="I1157" s="8" t="n">
        <v>0.451219512195122</v>
      </c>
    </row>
    <row r="1158">
      <c r="A1158" s="6" t="inlineStr">
        <is>
          <t>2025-12</t>
        </is>
      </c>
      <c r="B1158" s="6" t="inlineStr">
        <is>
          <t>训练服饰</t>
        </is>
      </c>
      <c r="C1158" s="6" t="inlineStr">
        <is>
          <t>西部</t>
        </is>
      </c>
      <c r="D1158" s="6" t="inlineStr">
        <is>
          <t>李娜</t>
        </is>
      </c>
      <c r="E1158" s="6" t="inlineStr">
        <is>
          <t>成长树运动馆</t>
        </is>
      </c>
      <c r="F1158" s="7" t="n">
        <v>44900</v>
      </c>
      <c r="G1158" s="7" t="n">
        <v>25600</v>
      </c>
      <c r="H1158" s="7" t="n">
        <v>19300</v>
      </c>
      <c r="I1158" s="8" t="n">
        <v>0.4298440979955457</v>
      </c>
    </row>
    <row r="1159">
      <c r="A1159" s="6" t="inlineStr">
        <is>
          <t>2025-12</t>
        </is>
      </c>
      <c r="B1159" s="6" t="inlineStr">
        <is>
          <t>训练服饰</t>
        </is>
      </c>
      <c r="C1159" s="6" t="inlineStr">
        <is>
          <t>西部</t>
        </is>
      </c>
      <c r="D1159" s="6" t="inlineStr">
        <is>
          <t>王芳</t>
        </is>
      </c>
      <c r="E1159" s="6" t="inlineStr">
        <is>
          <t>劲爆运动用品</t>
        </is>
      </c>
      <c r="F1159" s="7" t="n">
        <v>36800</v>
      </c>
      <c r="G1159" s="7" t="n">
        <v>19300</v>
      </c>
      <c r="H1159" s="7" t="n">
        <v>17500</v>
      </c>
      <c r="I1159" s="8" t="n">
        <v>0.4755434782608696</v>
      </c>
    </row>
    <row r="1160">
      <c r="A1160" s="6" t="inlineStr">
        <is>
          <t>2025-12</t>
        </is>
      </c>
      <c r="B1160" s="6" t="inlineStr">
        <is>
          <t>训练服饰</t>
        </is>
      </c>
      <c r="C1160" s="6" t="inlineStr">
        <is>
          <t>西部</t>
        </is>
      </c>
      <c r="D1160" s="6" t="inlineStr">
        <is>
          <t>刘强</t>
        </is>
      </c>
      <c r="E1160" s="6" t="inlineStr">
        <is>
          <t>小小运动家</t>
        </is>
      </c>
      <c r="F1160" s="7" t="n">
        <v>38400</v>
      </c>
      <c r="G1160" s="7" t="n">
        <v>20100</v>
      </c>
      <c r="H1160" s="7" t="n">
        <v>18300</v>
      </c>
      <c r="I1160" s="8" t="n">
        <v>0.4765625</v>
      </c>
    </row>
    <row r="1161">
      <c r="A1161" s="6" t="inlineStr">
        <is>
          <t>2025-12</t>
        </is>
      </c>
      <c r="B1161" s="6" t="inlineStr">
        <is>
          <t>训练服饰</t>
        </is>
      </c>
      <c r="C1161" s="6" t="inlineStr">
        <is>
          <t>西部</t>
        </is>
      </c>
      <c r="D1161" s="6" t="inlineStr">
        <is>
          <t>陈静</t>
        </is>
      </c>
      <c r="E1161" s="6" t="inlineStr">
        <is>
          <t>锋行体育</t>
        </is>
      </c>
      <c r="F1161" s="7" t="n">
        <v>39700</v>
      </c>
      <c r="G1161" s="7" t="n">
        <v>21200</v>
      </c>
      <c r="H1161" s="7" t="n">
        <v>18500</v>
      </c>
      <c r="I1161" s="8" t="n">
        <v>0.4659949622166247</v>
      </c>
    </row>
    <row r="1162">
      <c r="A1162" s="6" t="inlineStr">
        <is>
          <t>2025-12</t>
        </is>
      </c>
      <c r="B1162" s="6" t="inlineStr">
        <is>
          <t>营养补给</t>
        </is>
      </c>
      <c r="C1162" s="6" t="inlineStr">
        <is>
          <t>华东</t>
        </is>
      </c>
      <c r="D1162" s="6" t="inlineStr">
        <is>
          <t>张伟</t>
        </is>
      </c>
      <c r="E1162" s="6" t="inlineStr">
        <is>
          <t>领跑体育</t>
        </is>
      </c>
      <c r="F1162" s="7" t="n">
        <v>91000</v>
      </c>
      <c r="G1162" s="7" t="n">
        <v>66600</v>
      </c>
      <c r="H1162" s="7" t="n">
        <v>24400</v>
      </c>
      <c r="I1162" s="8" t="n">
        <v>0.2681318681318681</v>
      </c>
    </row>
    <row r="1163">
      <c r="A1163" s="6" t="inlineStr">
        <is>
          <t>2025-12</t>
        </is>
      </c>
      <c r="B1163" s="6" t="inlineStr">
        <is>
          <t>营养补给</t>
        </is>
      </c>
      <c r="C1163" s="6" t="inlineStr">
        <is>
          <t>华东</t>
        </is>
      </c>
      <c r="D1163" s="6" t="inlineStr">
        <is>
          <t>李娜</t>
        </is>
      </c>
      <c r="E1163" s="6" t="inlineStr">
        <is>
          <t>风云篮球馆</t>
        </is>
      </c>
      <c r="F1163" s="7" t="n">
        <v>91100</v>
      </c>
      <c r="G1163" s="7" t="n">
        <v>69500</v>
      </c>
      <c r="H1163" s="7" t="n">
        <v>21600</v>
      </c>
      <c r="I1163" s="8" t="n">
        <v>0.2371020856201976</v>
      </c>
    </row>
    <row r="1164">
      <c r="A1164" s="6" t="inlineStr">
        <is>
          <t>2025-12</t>
        </is>
      </c>
      <c r="B1164" s="6" t="inlineStr">
        <is>
          <t>营养补给</t>
        </is>
      </c>
      <c r="C1164" s="6" t="inlineStr">
        <is>
          <t>华东</t>
        </is>
      </c>
      <c r="D1164" s="6" t="inlineStr">
        <is>
          <t>王芳</t>
        </is>
      </c>
      <c r="E1164" s="6" t="inlineStr">
        <is>
          <t>启航健身中心</t>
        </is>
      </c>
      <c r="F1164" s="7" t="n">
        <v>85500</v>
      </c>
      <c r="G1164" s="7" t="n">
        <v>66000</v>
      </c>
      <c r="H1164" s="7" t="n">
        <v>19500</v>
      </c>
      <c r="I1164" s="8" t="n">
        <v>0.2280701754385965</v>
      </c>
    </row>
    <row r="1165">
      <c r="A1165" s="6" t="inlineStr">
        <is>
          <t>2025-12</t>
        </is>
      </c>
      <c r="B1165" s="6" t="inlineStr">
        <is>
          <t>营养补给</t>
        </is>
      </c>
      <c r="C1165" s="6" t="inlineStr">
        <is>
          <t>华东</t>
        </is>
      </c>
      <c r="D1165" s="6" t="inlineStr">
        <is>
          <t>刘强</t>
        </is>
      </c>
      <c r="E1165" s="6" t="inlineStr">
        <is>
          <t>小飞侠运动俱乐部</t>
        </is>
      </c>
      <c r="F1165" s="7" t="n">
        <v>91300</v>
      </c>
      <c r="G1165" s="7" t="n">
        <v>69900</v>
      </c>
      <c r="H1165" s="7" t="n">
        <v>21400</v>
      </c>
      <c r="I1165" s="8" t="n">
        <v>0.2343921139101862</v>
      </c>
    </row>
    <row r="1166">
      <c r="A1166" s="6" t="inlineStr">
        <is>
          <t>2025-12</t>
        </is>
      </c>
      <c r="B1166" s="6" t="inlineStr">
        <is>
          <t>营养补给</t>
        </is>
      </c>
      <c r="C1166" s="6" t="inlineStr">
        <is>
          <t>华东</t>
        </is>
      </c>
      <c r="D1166" s="6" t="inlineStr">
        <is>
          <t>陈静</t>
        </is>
      </c>
      <c r="E1166" s="6" t="inlineStr">
        <is>
          <t>篮途体育文化</t>
        </is>
      </c>
      <c r="F1166" s="7" t="n">
        <v>92600</v>
      </c>
      <c r="G1166" s="7" t="n">
        <v>72000</v>
      </c>
      <c r="H1166" s="7" t="n">
        <v>20600</v>
      </c>
      <c r="I1166" s="8" t="n">
        <v>0.2224622030237581</v>
      </c>
    </row>
    <row r="1167">
      <c r="A1167" s="6" t="inlineStr">
        <is>
          <t>2025-12</t>
        </is>
      </c>
      <c r="B1167" s="6" t="inlineStr">
        <is>
          <t>营养补给</t>
        </is>
      </c>
      <c r="C1167" s="6" t="inlineStr">
        <is>
          <t>华北</t>
        </is>
      </c>
      <c r="D1167" s="6" t="inlineStr">
        <is>
          <t>张伟</t>
        </is>
      </c>
      <c r="E1167" s="6" t="inlineStr">
        <is>
          <t>飞跃训练营</t>
        </is>
      </c>
      <c r="F1167" s="7" t="n">
        <v>74200</v>
      </c>
      <c r="G1167" s="7" t="n">
        <v>54600</v>
      </c>
      <c r="H1167" s="7" t="n">
        <v>19600</v>
      </c>
      <c r="I1167" s="8" t="n">
        <v>0.2641509433962264</v>
      </c>
    </row>
    <row r="1168">
      <c r="A1168" s="6" t="inlineStr">
        <is>
          <t>2025-12</t>
        </is>
      </c>
      <c r="B1168" s="6" t="inlineStr">
        <is>
          <t>营养补给</t>
        </is>
      </c>
      <c r="C1168" s="6" t="inlineStr">
        <is>
          <t>华北</t>
        </is>
      </c>
      <c r="D1168" s="6" t="inlineStr">
        <is>
          <t>李娜</t>
        </is>
      </c>
      <c r="E1168" s="6" t="inlineStr">
        <is>
          <t>环宇体育</t>
        </is>
      </c>
      <c r="F1168" s="7" t="n">
        <v>66800</v>
      </c>
      <c r="G1168" s="7" t="n">
        <v>52000</v>
      </c>
      <c r="H1168" s="7" t="n">
        <v>14800</v>
      </c>
      <c r="I1168" s="8" t="n">
        <v>0.2215568862275449</v>
      </c>
    </row>
    <row r="1169">
      <c r="A1169" s="6" t="inlineStr">
        <is>
          <t>2025-12</t>
        </is>
      </c>
      <c r="B1169" s="6" t="inlineStr">
        <is>
          <t>营养补给</t>
        </is>
      </c>
      <c r="C1169" s="6" t="inlineStr">
        <is>
          <t>华北</t>
        </is>
      </c>
      <c r="D1169" s="6" t="inlineStr">
        <is>
          <t>王芳</t>
        </is>
      </c>
      <c r="E1169" s="6" t="inlineStr">
        <is>
          <t>锐动体育用品</t>
        </is>
      </c>
      <c r="F1169" s="7" t="n">
        <v>71700</v>
      </c>
      <c r="G1169" s="7" t="n">
        <v>52500</v>
      </c>
      <c r="H1169" s="7" t="n">
        <v>19200</v>
      </c>
      <c r="I1169" s="8" t="n">
        <v>0.2677824267782427</v>
      </c>
    </row>
    <row r="1170">
      <c r="A1170" s="6" t="inlineStr">
        <is>
          <t>2025-12</t>
        </is>
      </c>
      <c r="B1170" s="6" t="inlineStr">
        <is>
          <t>营养补给</t>
        </is>
      </c>
      <c r="C1170" s="6" t="inlineStr">
        <is>
          <t>华北</t>
        </is>
      </c>
      <c r="D1170" s="6" t="inlineStr">
        <is>
          <t>刘强</t>
        </is>
      </c>
      <c r="E1170" s="6" t="inlineStr">
        <is>
          <t>锐健身工作室</t>
        </is>
      </c>
      <c r="F1170" s="7" t="n">
        <v>72300</v>
      </c>
      <c r="G1170" s="7" t="n">
        <v>55600</v>
      </c>
      <c r="H1170" s="7" t="n">
        <v>16700</v>
      </c>
      <c r="I1170" s="8" t="n">
        <v>0.2309820193637621</v>
      </c>
    </row>
    <row r="1171">
      <c r="A1171" s="6" t="inlineStr">
        <is>
          <t>2025-12</t>
        </is>
      </c>
      <c r="B1171" s="6" t="inlineStr">
        <is>
          <t>营养补给</t>
        </is>
      </c>
      <c r="C1171" s="6" t="inlineStr">
        <is>
          <t>华北</t>
        </is>
      </c>
      <c r="D1171" s="6" t="inlineStr">
        <is>
          <t>陈静</t>
        </is>
      </c>
      <c r="E1171" s="6" t="inlineStr">
        <is>
          <t>纵横运动</t>
        </is>
      </c>
      <c r="F1171" s="7" t="n">
        <v>78000</v>
      </c>
      <c r="G1171" s="7" t="n">
        <v>57900</v>
      </c>
      <c r="H1171" s="7" t="n">
        <v>20100</v>
      </c>
      <c r="I1171" s="8" t="n">
        <v>0.2576923076923077</v>
      </c>
    </row>
    <row r="1172">
      <c r="A1172" s="6" t="inlineStr">
        <is>
          <t>2025-12</t>
        </is>
      </c>
      <c r="B1172" s="6" t="inlineStr">
        <is>
          <t>营养补给</t>
        </is>
      </c>
      <c r="C1172" s="6" t="inlineStr">
        <is>
          <t>华南</t>
        </is>
      </c>
      <c r="D1172" s="6" t="inlineStr">
        <is>
          <t>张伟</t>
        </is>
      </c>
      <c r="E1172" s="6" t="inlineStr">
        <is>
          <t>乐动体育</t>
        </is>
      </c>
      <c r="F1172" s="7" t="n">
        <v>69200</v>
      </c>
      <c r="G1172" s="7" t="n">
        <v>52300</v>
      </c>
      <c r="H1172" s="7" t="n">
        <v>16900</v>
      </c>
      <c r="I1172" s="8" t="n">
        <v>0.2442196531791908</v>
      </c>
    </row>
    <row r="1173">
      <c r="A1173" s="6" t="inlineStr">
        <is>
          <t>2025-12</t>
        </is>
      </c>
      <c r="B1173" s="6" t="inlineStr">
        <is>
          <t>营养补给</t>
        </is>
      </c>
      <c r="C1173" s="6" t="inlineStr">
        <is>
          <t>华南</t>
        </is>
      </c>
      <c r="D1173" s="6" t="inlineStr">
        <is>
          <t>李娜</t>
        </is>
      </c>
      <c r="E1173" s="6" t="inlineStr">
        <is>
          <t>雷霆篮球</t>
        </is>
      </c>
      <c r="F1173" s="7" t="n">
        <v>89500</v>
      </c>
      <c r="G1173" s="7" t="n">
        <v>67300</v>
      </c>
      <c r="H1173" s="7" t="n">
        <v>22200</v>
      </c>
      <c r="I1173" s="8" t="n">
        <v>0.2480446927374302</v>
      </c>
    </row>
    <row r="1174">
      <c r="A1174" s="6" t="inlineStr">
        <is>
          <t>2025-12</t>
        </is>
      </c>
      <c r="B1174" s="6" t="inlineStr">
        <is>
          <t>营养补给</t>
        </is>
      </c>
      <c r="C1174" s="6" t="inlineStr">
        <is>
          <t>华南</t>
        </is>
      </c>
      <c r="D1174" s="6" t="inlineStr">
        <is>
          <t>王芳</t>
        </is>
      </c>
      <c r="E1174" s="6" t="inlineStr">
        <is>
          <t>巅峰运动</t>
        </is>
      </c>
      <c r="F1174" s="7" t="n">
        <v>71500</v>
      </c>
      <c r="G1174" s="7" t="n">
        <v>55700</v>
      </c>
      <c r="H1174" s="7" t="n">
        <v>15800</v>
      </c>
      <c r="I1174" s="8" t="n">
        <v>0.220979020979021</v>
      </c>
    </row>
    <row r="1175">
      <c r="A1175" s="6" t="inlineStr">
        <is>
          <t>2025-12</t>
        </is>
      </c>
      <c r="B1175" s="6" t="inlineStr">
        <is>
          <t>营养补给</t>
        </is>
      </c>
      <c r="C1175" s="6" t="inlineStr">
        <is>
          <t>华南</t>
        </is>
      </c>
      <c r="D1175" s="6" t="inlineStr">
        <is>
          <t>刘强</t>
        </is>
      </c>
      <c r="E1175" s="6" t="inlineStr">
        <is>
          <t>雷霆篮球</t>
        </is>
      </c>
      <c r="F1175" s="7" t="n">
        <v>69300</v>
      </c>
      <c r="G1175" s="7" t="n">
        <v>50200</v>
      </c>
      <c r="H1175" s="7" t="n">
        <v>19100</v>
      </c>
      <c r="I1175" s="8" t="n">
        <v>0.2756132756132756</v>
      </c>
    </row>
    <row r="1176">
      <c r="A1176" s="6" t="inlineStr">
        <is>
          <t>2025-12</t>
        </is>
      </c>
      <c r="B1176" s="6" t="inlineStr">
        <is>
          <t>营养补给</t>
        </is>
      </c>
      <c r="C1176" s="6" t="inlineStr">
        <is>
          <t>华南</t>
        </is>
      </c>
      <c r="D1176" s="6" t="inlineStr">
        <is>
          <t>陈静</t>
        </is>
      </c>
      <c r="E1176" s="6" t="inlineStr">
        <is>
          <t>启航健身中心</t>
        </is>
      </c>
      <c r="F1176" s="7" t="n">
        <v>65500</v>
      </c>
      <c r="G1176" s="7" t="n">
        <v>49200</v>
      </c>
      <c r="H1176" s="7" t="n">
        <v>16300</v>
      </c>
      <c r="I1176" s="8" t="n">
        <v>0.2488549618320611</v>
      </c>
    </row>
    <row r="1177">
      <c r="A1177" s="6" t="inlineStr">
        <is>
          <t>2025-12</t>
        </is>
      </c>
      <c r="B1177" s="6" t="inlineStr">
        <is>
          <t>营养补给</t>
        </is>
      </c>
      <c r="C1177" s="6" t="inlineStr">
        <is>
          <t>西部</t>
        </is>
      </c>
      <c r="D1177" s="6" t="inlineStr">
        <is>
          <t>张伟</t>
        </is>
      </c>
      <c r="E1177" s="6" t="inlineStr">
        <is>
          <t>腾飞体育用品</t>
        </is>
      </c>
      <c r="F1177" s="7" t="n">
        <v>49400</v>
      </c>
      <c r="G1177" s="7" t="n">
        <v>37200</v>
      </c>
      <c r="H1177" s="7" t="n">
        <v>12200</v>
      </c>
      <c r="I1177" s="8" t="n">
        <v>0.2469635627530364</v>
      </c>
    </row>
    <row r="1178">
      <c r="A1178" s="6" t="inlineStr">
        <is>
          <t>2025-12</t>
        </is>
      </c>
      <c r="B1178" s="6" t="inlineStr">
        <is>
          <t>营养补给</t>
        </is>
      </c>
      <c r="C1178" s="6" t="inlineStr">
        <is>
          <t>西部</t>
        </is>
      </c>
      <c r="D1178" s="6" t="inlineStr">
        <is>
          <t>李娜</t>
        </is>
      </c>
      <c r="E1178" s="6" t="inlineStr">
        <is>
          <t>超能体育</t>
        </is>
      </c>
      <c r="F1178" s="7" t="n">
        <v>55000</v>
      </c>
      <c r="G1178" s="7" t="n">
        <v>41200</v>
      </c>
      <c r="H1178" s="7" t="n">
        <v>13800</v>
      </c>
      <c r="I1178" s="8" t="n">
        <v>0.2509090909090909</v>
      </c>
    </row>
    <row r="1179">
      <c r="A1179" s="6" t="inlineStr">
        <is>
          <t>2025-12</t>
        </is>
      </c>
      <c r="B1179" s="6" t="inlineStr">
        <is>
          <t>营养补给</t>
        </is>
      </c>
      <c r="C1179" s="6" t="inlineStr">
        <is>
          <t>西部</t>
        </is>
      </c>
      <c r="D1179" s="6" t="inlineStr">
        <is>
          <t>王芳</t>
        </is>
      </c>
      <c r="E1179" s="6" t="inlineStr">
        <is>
          <t>极客穿戴</t>
        </is>
      </c>
      <c r="F1179" s="7" t="n">
        <v>55000</v>
      </c>
      <c r="G1179" s="7" t="n">
        <v>40200</v>
      </c>
      <c r="H1179" s="7" t="n">
        <v>14800</v>
      </c>
      <c r="I1179" s="8" t="n">
        <v>0.2690909090909091</v>
      </c>
    </row>
    <row r="1180">
      <c r="A1180" s="6" t="inlineStr">
        <is>
          <t>2025-12</t>
        </is>
      </c>
      <c r="B1180" s="6" t="inlineStr">
        <is>
          <t>营养补给</t>
        </is>
      </c>
      <c r="C1180" s="6" t="inlineStr">
        <is>
          <t>西部</t>
        </is>
      </c>
      <c r="D1180" s="6" t="inlineStr">
        <is>
          <t>刘强</t>
        </is>
      </c>
      <c r="E1180" s="6" t="inlineStr">
        <is>
          <t>活力无限健身</t>
        </is>
      </c>
      <c r="F1180" s="7" t="n">
        <v>43400</v>
      </c>
      <c r="G1180" s="7" t="n">
        <v>33700</v>
      </c>
      <c r="H1180" s="7" t="n">
        <v>9700</v>
      </c>
      <c r="I1180" s="8" t="n">
        <v>0.2235023041474654</v>
      </c>
    </row>
    <row r="1181">
      <c r="A1181" s="6" t="inlineStr">
        <is>
          <t>2025-12</t>
        </is>
      </c>
      <c r="B1181" s="6" t="inlineStr">
        <is>
          <t>营养补给</t>
        </is>
      </c>
      <c r="C1181" s="6" t="inlineStr">
        <is>
          <t>西部</t>
        </is>
      </c>
      <c r="D1181" s="6" t="inlineStr">
        <is>
          <t>陈静</t>
        </is>
      </c>
      <c r="E1181" s="6" t="inlineStr">
        <is>
          <t>风云篮球馆</t>
        </is>
      </c>
      <c r="F1181" s="7" t="n">
        <v>52900</v>
      </c>
      <c r="G1181" s="7" t="n">
        <v>40900</v>
      </c>
      <c r="H1181" s="7" t="n">
        <v>12000</v>
      </c>
      <c r="I1181" s="8" t="n">
        <v>0.2268431001890359</v>
      </c>
    </row>
    <row r="1182">
      <c r="A1182" s="6" t="inlineStr">
        <is>
          <t>2025-12</t>
        </is>
      </c>
      <c r="B1182" s="6" t="inlineStr">
        <is>
          <t>智能穿戴</t>
        </is>
      </c>
      <c r="C1182" s="6" t="inlineStr">
        <is>
          <t>华东</t>
        </is>
      </c>
      <c r="D1182" s="6" t="inlineStr">
        <is>
          <t>张伟</t>
        </is>
      </c>
      <c r="E1182" s="6" t="inlineStr">
        <is>
          <t>极客穿戴</t>
        </is>
      </c>
      <c r="F1182" s="7" t="n">
        <v>126800</v>
      </c>
      <c r="G1182" s="7" t="n">
        <v>78400</v>
      </c>
      <c r="H1182" s="7" t="n">
        <v>48400</v>
      </c>
      <c r="I1182" s="8" t="n">
        <v>0.3817034700315458</v>
      </c>
    </row>
    <row r="1183">
      <c r="A1183" s="6" t="inlineStr">
        <is>
          <t>2025-12</t>
        </is>
      </c>
      <c r="B1183" s="6" t="inlineStr">
        <is>
          <t>智能穿戴</t>
        </is>
      </c>
      <c r="C1183" s="6" t="inlineStr">
        <is>
          <t>华东</t>
        </is>
      </c>
      <c r="D1183" s="6" t="inlineStr">
        <is>
          <t>李娜</t>
        </is>
      </c>
      <c r="E1183" s="6" t="inlineStr">
        <is>
          <t>劲爆运动用品</t>
        </is>
      </c>
      <c r="F1183" s="7" t="n">
        <v>121000</v>
      </c>
      <c r="G1183" s="7" t="n">
        <v>77600</v>
      </c>
      <c r="H1183" s="7" t="n">
        <v>43400</v>
      </c>
      <c r="I1183" s="8" t="n">
        <v>0.3586776859504132</v>
      </c>
    </row>
    <row r="1184">
      <c r="A1184" s="6" t="inlineStr">
        <is>
          <t>2025-12</t>
        </is>
      </c>
      <c r="B1184" s="6" t="inlineStr">
        <is>
          <t>智能穿戴</t>
        </is>
      </c>
      <c r="C1184" s="6" t="inlineStr">
        <is>
          <t>华东</t>
        </is>
      </c>
      <c r="D1184" s="6" t="inlineStr">
        <is>
          <t>王芳</t>
        </is>
      </c>
      <c r="E1184" s="6" t="inlineStr">
        <is>
          <t>锐动体育用品</t>
        </is>
      </c>
      <c r="F1184" s="7" t="n">
        <v>121200</v>
      </c>
      <c r="G1184" s="7" t="n">
        <v>76300</v>
      </c>
      <c r="H1184" s="7" t="n">
        <v>44900</v>
      </c>
      <c r="I1184" s="8" t="n">
        <v>0.3704620462046205</v>
      </c>
    </row>
    <row r="1185">
      <c r="A1185" s="6" t="inlineStr">
        <is>
          <t>2025-12</t>
        </is>
      </c>
      <c r="B1185" s="6" t="inlineStr">
        <is>
          <t>智能穿戴</t>
        </is>
      </c>
      <c r="C1185" s="6" t="inlineStr">
        <is>
          <t>华东</t>
        </is>
      </c>
      <c r="D1185" s="6" t="inlineStr">
        <is>
          <t>刘强</t>
        </is>
      </c>
      <c r="E1185" s="6" t="inlineStr">
        <is>
          <t>飞跃训练营</t>
        </is>
      </c>
      <c r="F1185" s="7" t="n">
        <v>107300</v>
      </c>
      <c r="G1185" s="7" t="n">
        <v>63900</v>
      </c>
      <c r="H1185" s="7" t="n">
        <v>43400</v>
      </c>
      <c r="I1185" s="8" t="n">
        <v>0.4044734389561976</v>
      </c>
    </row>
    <row r="1186">
      <c r="A1186" s="6" t="inlineStr">
        <is>
          <t>2025-12</t>
        </is>
      </c>
      <c r="B1186" s="6" t="inlineStr">
        <is>
          <t>智能穿戴</t>
        </is>
      </c>
      <c r="C1186" s="6" t="inlineStr">
        <is>
          <t>华东</t>
        </is>
      </c>
      <c r="D1186" s="6" t="inlineStr">
        <is>
          <t>陈静</t>
        </is>
      </c>
      <c r="E1186" s="6" t="inlineStr">
        <is>
          <t>启航健身中心</t>
        </is>
      </c>
      <c r="F1186" s="7" t="n">
        <v>141700</v>
      </c>
      <c r="G1186" s="7" t="n">
        <v>86500</v>
      </c>
      <c r="H1186" s="7" t="n">
        <v>55200</v>
      </c>
      <c r="I1186" s="8" t="n">
        <v>0.3895553987297107</v>
      </c>
    </row>
    <row r="1187">
      <c r="A1187" s="6" t="inlineStr">
        <is>
          <t>2025-12</t>
        </is>
      </c>
      <c r="B1187" s="6" t="inlineStr">
        <is>
          <t>智能穿戴</t>
        </is>
      </c>
      <c r="C1187" s="6" t="inlineStr">
        <is>
          <t>华北</t>
        </is>
      </c>
      <c r="D1187" s="6" t="inlineStr">
        <is>
          <t>张伟</t>
        </is>
      </c>
      <c r="E1187" s="6" t="inlineStr">
        <is>
          <t>小小运动家</t>
        </is>
      </c>
      <c r="F1187" s="7" t="n">
        <v>109600</v>
      </c>
      <c r="G1187" s="7" t="n">
        <v>69900</v>
      </c>
      <c r="H1187" s="7" t="n">
        <v>39700</v>
      </c>
      <c r="I1187" s="8" t="n">
        <v>0.3622262773722628</v>
      </c>
    </row>
    <row r="1188">
      <c r="A1188" s="6" t="inlineStr">
        <is>
          <t>2025-12</t>
        </is>
      </c>
      <c r="B1188" s="6" t="inlineStr">
        <is>
          <t>智能穿戴</t>
        </is>
      </c>
      <c r="C1188" s="6" t="inlineStr">
        <is>
          <t>华北</t>
        </is>
      </c>
      <c r="D1188" s="6" t="inlineStr">
        <is>
          <t>李娜</t>
        </is>
      </c>
      <c r="E1188" s="6" t="inlineStr">
        <is>
          <t>元气营养</t>
        </is>
      </c>
      <c r="F1188" s="7" t="n">
        <v>106800</v>
      </c>
      <c r="G1188" s="7" t="n">
        <v>68600</v>
      </c>
      <c r="H1188" s="7" t="n">
        <v>38200</v>
      </c>
      <c r="I1188" s="8" t="n">
        <v>0.3576779026217228</v>
      </c>
    </row>
    <row r="1189">
      <c r="A1189" s="6" t="inlineStr">
        <is>
          <t>2025-12</t>
        </is>
      </c>
      <c r="B1189" s="6" t="inlineStr">
        <is>
          <t>智能穿戴</t>
        </is>
      </c>
      <c r="C1189" s="6" t="inlineStr">
        <is>
          <t>华北</t>
        </is>
      </c>
      <c r="D1189" s="6" t="inlineStr">
        <is>
          <t>王芳</t>
        </is>
      </c>
      <c r="E1189" s="6" t="inlineStr">
        <is>
          <t>卓越体能训练营</t>
        </is>
      </c>
      <c r="F1189" s="7" t="n">
        <v>119100</v>
      </c>
      <c r="G1189" s="7" t="n">
        <v>77100</v>
      </c>
      <c r="H1189" s="7" t="n">
        <v>42000</v>
      </c>
      <c r="I1189" s="8" t="n">
        <v>0.3526448362720403</v>
      </c>
    </row>
    <row r="1190">
      <c r="A1190" s="6" t="inlineStr">
        <is>
          <t>2025-12</t>
        </is>
      </c>
      <c r="B1190" s="6" t="inlineStr">
        <is>
          <t>智能穿戴</t>
        </is>
      </c>
      <c r="C1190" s="6" t="inlineStr">
        <is>
          <t>华北</t>
        </is>
      </c>
      <c r="D1190" s="6" t="inlineStr">
        <is>
          <t>刘强</t>
        </is>
      </c>
      <c r="E1190" s="6" t="inlineStr">
        <is>
          <t>成长树运动馆</t>
        </is>
      </c>
      <c r="F1190" s="7" t="n">
        <v>91500</v>
      </c>
      <c r="G1190" s="7" t="n">
        <v>55300</v>
      </c>
      <c r="H1190" s="7" t="n">
        <v>36200</v>
      </c>
      <c r="I1190" s="8" t="n">
        <v>0.3956284153005464</v>
      </c>
    </row>
    <row r="1191">
      <c r="A1191" s="6" t="inlineStr">
        <is>
          <t>2025-12</t>
        </is>
      </c>
      <c r="B1191" s="6" t="inlineStr">
        <is>
          <t>智能穿戴</t>
        </is>
      </c>
      <c r="C1191" s="6" t="inlineStr">
        <is>
          <t>华北</t>
        </is>
      </c>
      <c r="D1191" s="6" t="inlineStr">
        <is>
          <t>陈静</t>
        </is>
      </c>
      <c r="E1191" s="6" t="inlineStr">
        <is>
          <t>极客穿戴</t>
        </is>
      </c>
      <c r="F1191" s="7" t="n">
        <v>94500</v>
      </c>
      <c r="G1191" s="7" t="n">
        <v>60000</v>
      </c>
      <c r="H1191" s="7" t="n">
        <v>34500</v>
      </c>
      <c r="I1191" s="8" t="n">
        <v>0.3650793650793651</v>
      </c>
    </row>
    <row r="1192">
      <c r="A1192" s="6" t="inlineStr">
        <is>
          <t>2025-12</t>
        </is>
      </c>
      <c r="B1192" s="6" t="inlineStr">
        <is>
          <t>智能穿戴</t>
        </is>
      </c>
      <c r="C1192" s="6" t="inlineStr">
        <is>
          <t>华南</t>
        </is>
      </c>
      <c r="D1192" s="6" t="inlineStr">
        <is>
          <t>张伟</t>
        </is>
      </c>
      <c r="E1192" s="6" t="inlineStr">
        <is>
          <t>动能营养</t>
        </is>
      </c>
      <c r="F1192" s="7" t="n">
        <v>115800</v>
      </c>
      <c r="G1192" s="7" t="n">
        <v>70000</v>
      </c>
      <c r="H1192" s="7" t="n">
        <v>45800</v>
      </c>
      <c r="I1192" s="8" t="n">
        <v>0.3955094991364421</v>
      </c>
    </row>
    <row r="1193">
      <c r="A1193" s="6" t="inlineStr">
        <is>
          <t>2025-12</t>
        </is>
      </c>
      <c r="B1193" s="6" t="inlineStr">
        <is>
          <t>智能穿戴</t>
        </is>
      </c>
      <c r="C1193" s="6" t="inlineStr">
        <is>
          <t>华南</t>
        </is>
      </c>
      <c r="D1193" s="6" t="inlineStr">
        <is>
          <t>李娜</t>
        </is>
      </c>
      <c r="E1193" s="6" t="inlineStr">
        <is>
          <t>环宇体育</t>
        </is>
      </c>
      <c r="F1193" s="7" t="n">
        <v>130100</v>
      </c>
      <c r="G1193" s="7" t="n">
        <v>79200</v>
      </c>
      <c r="H1193" s="7" t="n">
        <v>50900</v>
      </c>
      <c r="I1193" s="8" t="n">
        <v>0.3912375096079939</v>
      </c>
    </row>
    <row r="1194">
      <c r="A1194" s="6" t="inlineStr">
        <is>
          <t>2025-12</t>
        </is>
      </c>
      <c r="B1194" s="6" t="inlineStr">
        <is>
          <t>智能穿戴</t>
        </is>
      </c>
      <c r="C1194" s="6" t="inlineStr">
        <is>
          <t>华南</t>
        </is>
      </c>
      <c r="D1194" s="6" t="inlineStr">
        <is>
          <t>王芳</t>
        </is>
      </c>
      <c r="E1194" s="6" t="inlineStr">
        <is>
          <t>超能体育</t>
        </is>
      </c>
      <c r="F1194" s="7" t="n">
        <v>123600</v>
      </c>
      <c r="G1194" s="7" t="n">
        <v>74200</v>
      </c>
      <c r="H1194" s="7" t="n">
        <v>49400</v>
      </c>
      <c r="I1194" s="8" t="n">
        <v>0.3996763754045308</v>
      </c>
    </row>
    <row r="1195">
      <c r="A1195" s="6" t="inlineStr">
        <is>
          <t>2025-12</t>
        </is>
      </c>
      <c r="B1195" s="6" t="inlineStr">
        <is>
          <t>智能穿戴</t>
        </is>
      </c>
      <c r="C1195" s="6" t="inlineStr">
        <is>
          <t>华南</t>
        </is>
      </c>
      <c r="D1195" s="6" t="inlineStr">
        <is>
          <t>刘强</t>
        </is>
      </c>
      <c r="E1195" s="6" t="inlineStr">
        <is>
          <t>环宇体育</t>
        </is>
      </c>
      <c r="F1195" s="7" t="n">
        <v>106000</v>
      </c>
      <c r="G1195" s="7" t="n">
        <v>67800</v>
      </c>
      <c r="H1195" s="7" t="n">
        <v>38200</v>
      </c>
      <c r="I1195" s="8" t="n">
        <v>0.360377358490566</v>
      </c>
    </row>
    <row r="1196">
      <c r="A1196" s="6" t="inlineStr">
        <is>
          <t>2025-12</t>
        </is>
      </c>
      <c r="B1196" s="6" t="inlineStr">
        <is>
          <t>智能穿戴</t>
        </is>
      </c>
      <c r="C1196" s="6" t="inlineStr">
        <is>
          <t>华南</t>
        </is>
      </c>
      <c r="D1196" s="6" t="inlineStr">
        <is>
          <t>陈静</t>
        </is>
      </c>
      <c r="E1196" s="6" t="inlineStr">
        <is>
          <t>启航健身中心</t>
        </is>
      </c>
      <c r="F1196" s="7" t="n">
        <v>115500</v>
      </c>
      <c r="G1196" s="7" t="n">
        <v>70700</v>
      </c>
      <c r="H1196" s="7" t="n">
        <v>44800</v>
      </c>
      <c r="I1196" s="8" t="n">
        <v>0.3878787878787879</v>
      </c>
    </row>
    <row r="1197">
      <c r="A1197" s="6" t="inlineStr">
        <is>
          <t>2025-12</t>
        </is>
      </c>
      <c r="B1197" s="6" t="inlineStr">
        <is>
          <t>智能穿戴</t>
        </is>
      </c>
      <c r="C1197" s="6" t="inlineStr">
        <is>
          <t>西部</t>
        </is>
      </c>
      <c r="D1197" s="6" t="inlineStr">
        <is>
          <t>张伟</t>
        </is>
      </c>
      <c r="E1197" s="6" t="inlineStr">
        <is>
          <t>阳光体能</t>
        </is>
      </c>
      <c r="F1197" s="7" t="n">
        <v>73700</v>
      </c>
      <c r="G1197" s="7" t="n">
        <v>43800</v>
      </c>
      <c r="H1197" s="7" t="n">
        <v>29900</v>
      </c>
      <c r="I1197" s="8" t="n">
        <v>0.4056987788331072</v>
      </c>
    </row>
    <row r="1198">
      <c r="A1198" s="6" t="inlineStr">
        <is>
          <t>2025-12</t>
        </is>
      </c>
      <c r="B1198" s="6" t="inlineStr">
        <is>
          <t>智能穿戴</t>
        </is>
      </c>
      <c r="C1198" s="6" t="inlineStr">
        <is>
          <t>西部</t>
        </is>
      </c>
      <c r="D1198" s="6" t="inlineStr">
        <is>
          <t>李娜</t>
        </is>
      </c>
      <c r="E1198" s="6" t="inlineStr">
        <is>
          <t>环宇体育</t>
        </is>
      </c>
      <c r="F1198" s="7" t="n">
        <v>63800</v>
      </c>
      <c r="G1198" s="7" t="n">
        <v>40800</v>
      </c>
      <c r="H1198" s="7" t="n">
        <v>23000</v>
      </c>
      <c r="I1198" s="8" t="n">
        <v>0.3605015673981191</v>
      </c>
    </row>
    <row r="1199">
      <c r="A1199" s="6" t="inlineStr">
        <is>
          <t>2025-12</t>
        </is>
      </c>
      <c r="B1199" s="6" t="inlineStr">
        <is>
          <t>智能穿戴</t>
        </is>
      </c>
      <c r="C1199" s="6" t="inlineStr">
        <is>
          <t>西部</t>
        </is>
      </c>
      <c r="D1199" s="6" t="inlineStr">
        <is>
          <t>王芳</t>
        </is>
      </c>
      <c r="E1199" s="6" t="inlineStr">
        <is>
          <t>巅峰运动</t>
        </is>
      </c>
      <c r="F1199" s="7" t="n">
        <v>69300</v>
      </c>
      <c r="G1199" s="7" t="n">
        <v>42700</v>
      </c>
      <c r="H1199" s="7" t="n">
        <v>26600</v>
      </c>
      <c r="I1199" s="8" t="n">
        <v>0.3838383838383838</v>
      </c>
    </row>
    <row r="1200">
      <c r="A1200" s="6" t="inlineStr">
        <is>
          <t>2025-12</t>
        </is>
      </c>
      <c r="B1200" s="6" t="inlineStr">
        <is>
          <t>智能穿戴</t>
        </is>
      </c>
      <c r="C1200" s="6" t="inlineStr">
        <is>
          <t>西部</t>
        </is>
      </c>
      <c r="D1200" s="6" t="inlineStr">
        <is>
          <t>刘强</t>
        </is>
      </c>
      <c r="E1200" s="6" t="inlineStr">
        <is>
          <t>雷霆篮球</t>
        </is>
      </c>
      <c r="F1200" s="7" t="n">
        <v>67200</v>
      </c>
      <c r="G1200" s="7" t="n">
        <v>43100</v>
      </c>
      <c r="H1200" s="7" t="n">
        <v>24100</v>
      </c>
      <c r="I1200" s="8" t="n">
        <v>0.3586309523809524</v>
      </c>
    </row>
    <row r="1201">
      <c r="A1201" s="6" t="inlineStr">
        <is>
          <t>2025-12</t>
        </is>
      </c>
      <c r="B1201" s="6" t="inlineStr">
        <is>
          <t>智能穿戴</t>
        </is>
      </c>
      <c r="C1201" s="6" t="inlineStr">
        <is>
          <t>西部</t>
        </is>
      </c>
      <c r="D1201" s="6" t="inlineStr">
        <is>
          <t>陈静</t>
        </is>
      </c>
      <c r="E1201" s="6" t="inlineStr">
        <is>
          <t>领跑体育</t>
        </is>
      </c>
      <c r="F1201" s="7" t="n">
        <v>73800</v>
      </c>
      <c r="G1201" s="7" t="n">
        <v>46900</v>
      </c>
      <c r="H1201" s="7" t="n">
        <v>26900</v>
      </c>
      <c r="I1201" s="8" t="n">
        <v>0.3644986449864498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0" customWidth="1" min="5" max="5"/>
    <col width="16" customWidth="1" min="6" max="6"/>
    <col width="10" customWidth="1" min="7" max="7"/>
    <col width="10" customWidth="1" min="8" max="8"/>
  </cols>
  <sheetData>
    <row r="1">
      <c r="A1" s="1" t="inlineStr">
        <is>
          <t>月度销售趋势与增长率</t>
        </is>
      </c>
    </row>
    <row r="3">
      <c r="A3" s="5" t="inlineStr">
        <is>
          <t>月份</t>
        </is>
      </c>
      <c r="B3" s="5" t="inlineStr">
        <is>
          <t>销售额</t>
        </is>
      </c>
      <c r="C3" s="5" t="inlineStr">
        <is>
          <t>成本</t>
        </is>
      </c>
      <c r="D3" s="5" t="inlineStr">
        <is>
          <t>毛利</t>
        </is>
      </c>
      <c r="E3" s="5" t="inlineStr">
        <is>
          <t>毛利率</t>
        </is>
      </c>
      <c r="F3" s="5" t="inlineStr">
        <is>
          <t>上年同期销售额</t>
        </is>
      </c>
      <c r="G3" s="5" t="inlineStr">
        <is>
          <t>环比增长</t>
        </is>
      </c>
      <c r="H3" s="5" t="inlineStr">
        <is>
          <t>同比增长</t>
        </is>
      </c>
    </row>
    <row r="4">
      <c r="A4" s="6" t="inlineStr">
        <is>
          <t>2025-01</t>
        </is>
      </c>
      <c r="B4" s="7">
        <f>SUMIFS('销售明细'!F2:F1201,'销售明细'!A2:A1201,A4)</f>
        <v/>
      </c>
      <c r="C4" s="7">
        <f>SUMIFS('销售明细'!G2:G1201,'销售明细'!A2:A1201,A4)</f>
        <v/>
      </c>
      <c r="D4" s="7">
        <f>B4-C4</f>
        <v/>
      </c>
      <c r="E4" s="8">
        <f>IF(B4=0,"",D4/B4)</f>
        <v/>
      </c>
      <c r="F4" s="7" t="n">
        <v>3705700</v>
      </c>
      <c r="G4" s="8" t="inlineStr"/>
      <c r="H4" s="8">
        <f>IF(F4=0,"",(B4-F4)/F4)</f>
        <v/>
      </c>
    </row>
    <row r="5">
      <c r="A5" s="6" t="inlineStr">
        <is>
          <t>2025-02</t>
        </is>
      </c>
      <c r="B5" s="7">
        <f>SUMIFS('销售明细'!F2:F1201,'销售明细'!A2:A1201,A5)</f>
        <v/>
      </c>
      <c r="C5" s="7">
        <f>SUMIFS('销售明细'!G2:G1201,'销售明细'!A2:A1201,A5)</f>
        <v/>
      </c>
      <c r="D5" s="7">
        <f>B5-C5</f>
        <v/>
      </c>
      <c r="E5" s="8">
        <f>IF(B5=0,"",D5/B5)</f>
        <v/>
      </c>
      <c r="F5" s="7" t="n">
        <v>3791600</v>
      </c>
      <c r="G5" s="8">
        <f>IF(B4=0,"",(B5-B4)/B4)</f>
        <v/>
      </c>
      <c r="H5" s="8">
        <f>IF(F5=0,"",(B5-F5)/F5)</f>
        <v/>
      </c>
    </row>
    <row r="6">
      <c r="A6" s="6" t="inlineStr">
        <is>
          <t>2025-03</t>
        </is>
      </c>
      <c r="B6" s="7">
        <f>SUMIFS('销售明细'!F2:F1201,'销售明细'!A2:A1201,A6)</f>
        <v/>
      </c>
      <c r="C6" s="7">
        <f>SUMIFS('销售明细'!G2:G1201,'销售明细'!A2:A1201,A6)</f>
        <v/>
      </c>
      <c r="D6" s="7">
        <f>B6-C6</f>
        <v/>
      </c>
      <c r="E6" s="8">
        <f>IF(B6=0,"",D6/B6)</f>
        <v/>
      </c>
      <c r="F6" s="7" t="n">
        <v>4553300</v>
      </c>
      <c r="G6" s="8">
        <f>IF(B5=0,"",(B6-B5)/B5)</f>
        <v/>
      </c>
      <c r="H6" s="8">
        <f>IF(F6=0,"",(B6-F6)/F6)</f>
        <v/>
      </c>
    </row>
    <row r="7">
      <c r="A7" s="6" t="inlineStr">
        <is>
          <t>2025-04</t>
        </is>
      </c>
      <c r="B7" s="7">
        <f>SUMIFS('销售明细'!F2:F1201,'销售明细'!A2:A1201,A7)</f>
        <v/>
      </c>
      <c r="C7" s="7">
        <f>SUMIFS('销售明细'!G2:G1201,'销售明细'!A2:A1201,A7)</f>
        <v/>
      </c>
      <c r="D7" s="7">
        <f>B7-C7</f>
        <v/>
      </c>
      <c r="E7" s="8">
        <f>IF(B7=0,"",D7/B7)</f>
        <v/>
      </c>
      <c r="F7" s="7" t="n">
        <v>4729500</v>
      </c>
      <c r="G7" s="8">
        <f>IF(B6=0,"",(B7-B6)/B6)</f>
        <v/>
      </c>
      <c r="H7" s="8">
        <f>IF(F7=0,"",(B7-F7)/F7)</f>
        <v/>
      </c>
    </row>
    <row r="8">
      <c r="A8" s="6" t="inlineStr">
        <is>
          <t>2025-05</t>
        </is>
      </c>
      <c r="B8" s="7">
        <f>SUMIFS('销售明细'!F2:F1201,'销售明细'!A2:A1201,A8)</f>
        <v/>
      </c>
      <c r="C8" s="7">
        <f>SUMIFS('销售明细'!G2:G1201,'销售明细'!A2:A1201,A8)</f>
        <v/>
      </c>
      <c r="D8" s="7">
        <f>B8-C8</f>
        <v/>
      </c>
      <c r="E8" s="8">
        <f>IF(B8=0,"",D8/B8)</f>
        <v/>
      </c>
      <c r="F8" s="7" t="n">
        <v>4872400</v>
      </c>
      <c r="G8" s="8">
        <f>IF(B7=0,"",(B8-B7)/B7)</f>
        <v/>
      </c>
      <c r="H8" s="8">
        <f>IF(F8=0,"",(B8-F8)/F8)</f>
        <v/>
      </c>
    </row>
    <row r="9">
      <c r="A9" s="6" t="inlineStr">
        <is>
          <t>2025-06</t>
        </is>
      </c>
      <c r="B9" s="7">
        <f>SUMIFS('销售明细'!F2:F1201,'销售明细'!A2:A1201,A9)</f>
        <v/>
      </c>
      <c r="C9" s="7">
        <f>SUMIFS('销售明细'!G2:G1201,'销售明细'!A2:A1201,A9)</f>
        <v/>
      </c>
      <c r="D9" s="7">
        <f>B9-C9</f>
        <v/>
      </c>
      <c r="E9" s="8">
        <f>IF(B9=0,"",D9/B9)</f>
        <v/>
      </c>
      <c r="F9" s="7" t="n">
        <v>6075900</v>
      </c>
      <c r="G9" s="8">
        <f>IF(B8=0,"",(B9-B8)/B8)</f>
        <v/>
      </c>
      <c r="H9" s="8">
        <f>IF(F9=0,"",(B9-F9)/F9)</f>
        <v/>
      </c>
    </row>
    <row r="10">
      <c r="A10" s="6" t="inlineStr">
        <is>
          <t>2025-07</t>
        </is>
      </c>
      <c r="B10" s="7">
        <f>SUMIFS('销售明细'!F2:F1201,'销售明细'!A2:A1201,A10)</f>
        <v/>
      </c>
      <c r="C10" s="7">
        <f>SUMIFS('销售明细'!G2:G1201,'销售明细'!A2:A1201,A10)</f>
        <v/>
      </c>
      <c r="D10" s="7">
        <f>B10-C10</f>
        <v/>
      </c>
      <c r="E10" s="8">
        <f>IF(B10=0,"",D10/B10)</f>
        <v/>
      </c>
      <c r="F10" s="7" t="n">
        <v>4170200</v>
      </c>
      <c r="G10" s="8">
        <f>IF(B9=0,"",(B10-B9)/B9)</f>
        <v/>
      </c>
      <c r="H10" s="8">
        <f>IF(F10=0,"",(B10-F10)/F10)</f>
        <v/>
      </c>
    </row>
    <row r="11">
      <c r="A11" s="6" t="inlineStr">
        <is>
          <t>2025-08</t>
        </is>
      </c>
      <c r="B11" s="7">
        <f>SUMIFS('销售明细'!F2:F1201,'销售明细'!A2:A1201,A11)</f>
        <v/>
      </c>
      <c r="C11" s="7">
        <f>SUMIFS('销售明细'!G2:G1201,'销售明细'!A2:A1201,A11)</f>
        <v/>
      </c>
      <c r="D11" s="7">
        <f>B11-C11</f>
        <v/>
      </c>
      <c r="E11" s="8">
        <f>IF(B11=0,"",D11/B11)</f>
        <v/>
      </c>
      <c r="F11" s="7" t="n">
        <v>4405700</v>
      </c>
      <c r="G11" s="8">
        <f>IF(B10=0,"",(B11-B10)/B10)</f>
        <v/>
      </c>
      <c r="H11" s="8">
        <f>IF(F11=0,"",(B11-F11)/F11)</f>
        <v/>
      </c>
    </row>
    <row r="12">
      <c r="A12" s="6" t="inlineStr">
        <is>
          <t>2025-09</t>
        </is>
      </c>
      <c r="B12" s="7">
        <f>SUMIFS('销售明细'!F2:F1201,'销售明细'!A2:A1201,A12)</f>
        <v/>
      </c>
      <c r="C12" s="7">
        <f>SUMIFS('销售明细'!G2:G1201,'销售明细'!A2:A1201,A12)</f>
        <v/>
      </c>
      <c r="D12" s="7">
        <f>B12-C12</f>
        <v/>
      </c>
      <c r="E12" s="8">
        <f>IF(B12=0,"",D12/B12)</f>
        <v/>
      </c>
      <c r="F12" s="7" t="n">
        <v>5096200</v>
      </c>
      <c r="G12" s="8">
        <f>IF(B11=0,"",(B12-B11)/B11)</f>
        <v/>
      </c>
      <c r="H12" s="8">
        <f>IF(F12=0,"",(B12-F12)/F12)</f>
        <v/>
      </c>
    </row>
    <row r="13">
      <c r="A13" s="6" t="inlineStr">
        <is>
          <t>2025-10</t>
        </is>
      </c>
      <c r="B13" s="7">
        <f>SUMIFS('销售明细'!F2:F1201,'销售明细'!A2:A1201,A13)</f>
        <v/>
      </c>
      <c r="C13" s="7">
        <f>SUMIFS('销售明细'!G2:G1201,'销售明细'!A2:A1201,A13)</f>
        <v/>
      </c>
      <c r="D13" s="7">
        <f>B13-C13</f>
        <v/>
      </c>
      <c r="E13" s="8">
        <f>IF(B13=0,"",D13/B13)</f>
        <v/>
      </c>
      <c r="F13" s="7" t="n">
        <v>5303800</v>
      </c>
      <c r="G13" s="8">
        <f>IF(B12=0,"",(B13-B12)/B12)</f>
        <v/>
      </c>
      <c r="H13" s="8">
        <f>IF(F13=0,"",(B13-F13)/F13)</f>
        <v/>
      </c>
    </row>
    <row r="14">
      <c r="A14" s="6" t="inlineStr">
        <is>
          <t>2025-11</t>
        </is>
      </c>
      <c r="B14" s="7">
        <f>SUMIFS('销售明细'!F2:F1201,'销售明细'!A2:A1201,A14)</f>
        <v/>
      </c>
      <c r="C14" s="7">
        <f>SUMIFS('销售明细'!G2:G1201,'销售明细'!A2:A1201,A14)</f>
        <v/>
      </c>
      <c r="D14" s="7">
        <f>B14-C14</f>
        <v/>
      </c>
      <c r="E14" s="8">
        <f>IF(B14=0,"",D14/B14)</f>
        <v/>
      </c>
      <c r="F14" s="7" t="n">
        <v>6018800</v>
      </c>
      <c r="G14" s="8">
        <f>IF(B13=0,"",(B14-B13)/B13)</f>
        <v/>
      </c>
      <c r="H14" s="8">
        <f>IF(F14=0,"",(B14-F14)/F14)</f>
        <v/>
      </c>
    </row>
    <row r="15">
      <c r="A15" s="6" t="inlineStr">
        <is>
          <t>2025-12</t>
        </is>
      </c>
      <c r="B15" s="7">
        <f>SUMIFS('销售明细'!F2:F1201,'销售明细'!A2:A1201,A15)</f>
        <v/>
      </c>
      <c r="C15" s="7">
        <f>SUMIFS('销售明细'!G2:G1201,'销售明细'!A2:A1201,A15)</f>
        <v/>
      </c>
      <c r="D15" s="7">
        <f>B15-C15</f>
        <v/>
      </c>
      <c r="E15" s="8">
        <f>IF(B15=0,"",D15/B15)</f>
        <v/>
      </c>
      <c r="F15" s="7" t="n">
        <v>6917500</v>
      </c>
      <c r="G15" s="8">
        <f>IF(B14=0,"",(B15-B14)/B14)</f>
        <v/>
      </c>
      <c r="H15" s="8">
        <f>IF(F15=0,"",(B15-F15)/F15)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区域业绩排名</t>
        </is>
      </c>
    </row>
    <row r="3">
      <c r="A3" s="5" t="inlineStr">
        <is>
          <t>区域</t>
        </is>
      </c>
      <c r="B3" s="5" t="inlineStr">
        <is>
          <t>销售额</t>
        </is>
      </c>
      <c r="C3" s="5" t="inlineStr">
        <is>
          <t>成本</t>
        </is>
      </c>
      <c r="D3" s="5" t="inlineStr">
        <is>
          <t>毛利</t>
        </is>
      </c>
      <c r="E3" s="5" t="inlineStr">
        <is>
          <t>毛利率</t>
        </is>
      </c>
      <c r="F3" s="5" t="inlineStr">
        <is>
          <t>排名</t>
        </is>
      </c>
    </row>
    <row r="4">
      <c r="A4" s="6" t="inlineStr">
        <is>
          <t>华东</t>
        </is>
      </c>
      <c r="B4" s="7">
        <f>SUMIFS('销售明细'!F2:F1201,'销售明细'!C2:C1201,A4)</f>
        <v/>
      </c>
      <c r="C4" s="7">
        <f>SUMIFS('销售明细'!G2:G1201,'销售明细'!C2:C1201,A4)</f>
        <v/>
      </c>
      <c r="D4" s="7">
        <f>B4-C4</f>
        <v/>
      </c>
      <c r="E4" s="8">
        <f>IF(B4=0,"",D4/B4)</f>
        <v/>
      </c>
      <c r="F4" s="9">
        <f>RANK(B4,$B$4:$B$7)</f>
        <v/>
      </c>
    </row>
    <row r="5">
      <c r="A5" s="6" t="inlineStr">
        <is>
          <t>华北</t>
        </is>
      </c>
      <c r="B5" s="7">
        <f>SUMIFS('销售明细'!F2:F1201,'销售明细'!C2:C1201,A5)</f>
        <v/>
      </c>
      <c r="C5" s="7">
        <f>SUMIFS('销售明细'!G2:G1201,'销售明细'!C2:C1201,A5)</f>
        <v/>
      </c>
      <c r="D5" s="7">
        <f>B5-C5</f>
        <v/>
      </c>
      <c r="E5" s="8">
        <f>IF(B5=0,"",D5/B5)</f>
        <v/>
      </c>
      <c r="F5" s="9">
        <f>RANK(B5,$B$4:$B$7)</f>
        <v/>
      </c>
    </row>
    <row r="6">
      <c r="A6" s="6" t="inlineStr">
        <is>
          <t>华南</t>
        </is>
      </c>
      <c r="B6" s="7">
        <f>SUMIFS('销售明细'!F2:F1201,'销售明细'!C2:C1201,A6)</f>
        <v/>
      </c>
      <c r="C6" s="7">
        <f>SUMIFS('销售明细'!G2:G1201,'销售明细'!C2:C1201,A6)</f>
        <v/>
      </c>
      <c r="D6" s="7">
        <f>B6-C6</f>
        <v/>
      </c>
      <c r="E6" s="8">
        <f>IF(B6=0,"",D6/B6)</f>
        <v/>
      </c>
      <c r="F6" s="9">
        <f>RANK(B6,$B$4:$B$7)</f>
        <v/>
      </c>
    </row>
    <row r="7">
      <c r="A7" s="6" t="inlineStr">
        <is>
          <t>西部</t>
        </is>
      </c>
      <c r="B7" s="7">
        <f>SUMIFS('销售明细'!F2:F1201,'销售明细'!C2:C1201,A7)</f>
        <v/>
      </c>
      <c r="C7" s="7">
        <f>SUMIFS('销售明细'!G2:G1201,'销售明细'!C2:C1201,A7)</f>
        <v/>
      </c>
      <c r="D7" s="7">
        <f>B7-C7</f>
        <v/>
      </c>
      <c r="E7" s="8">
        <f>IF(B7=0,"",D7/B7)</f>
        <v/>
      </c>
      <c r="F7" s="9">
        <f>RANK(B7,$B$4:$B$7)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产品线毛利分析</t>
        </is>
      </c>
    </row>
    <row r="3">
      <c r="A3" s="5" t="inlineStr">
        <is>
          <t>产品线</t>
        </is>
      </c>
      <c r="B3" s="5" t="inlineStr">
        <is>
          <t>销售额</t>
        </is>
      </c>
      <c r="C3" s="5" t="inlineStr">
        <is>
          <t>成本</t>
        </is>
      </c>
      <c r="D3" s="5" t="inlineStr">
        <is>
          <t>毛利</t>
        </is>
      </c>
      <c r="E3" s="5" t="inlineStr">
        <is>
          <t>毛利率</t>
        </is>
      </c>
    </row>
    <row r="4">
      <c r="A4" s="6" t="inlineStr">
        <is>
          <t>篮球装备</t>
        </is>
      </c>
      <c r="B4" s="7">
        <f>SUMIFS('销售明细'!F2:F1201,'销售明细'!B2:B1201,A4)</f>
        <v/>
      </c>
      <c r="C4" s="7">
        <f>SUMIFS('销售明细'!G2:G1201,'销售明细'!B2:B1201,A4)</f>
        <v/>
      </c>
      <c r="D4" s="7">
        <f>B4-C4</f>
        <v/>
      </c>
      <c r="E4" s="8">
        <f>IF(B4=0,"",D4/B4)</f>
        <v/>
      </c>
    </row>
    <row r="5">
      <c r="A5" s="6" t="inlineStr">
        <is>
          <t>体适能器材</t>
        </is>
      </c>
      <c r="B5" s="7">
        <f>SUMIFS('销售明细'!F2:F1201,'销售明细'!B2:B1201,A5)</f>
        <v/>
      </c>
      <c r="C5" s="7">
        <f>SUMIFS('销售明细'!G2:G1201,'销售明细'!B2:B1201,A5)</f>
        <v/>
      </c>
      <c r="D5" s="7">
        <f>B5-C5</f>
        <v/>
      </c>
      <c r="E5" s="8">
        <f>IF(B5=0,"",D5/B5)</f>
        <v/>
      </c>
    </row>
    <row r="6">
      <c r="A6" s="6" t="inlineStr">
        <is>
          <t>训练服饰</t>
        </is>
      </c>
      <c r="B6" s="7">
        <f>SUMIFS('销售明细'!F2:F1201,'销售明细'!B2:B1201,A6)</f>
        <v/>
      </c>
      <c r="C6" s="7">
        <f>SUMIFS('销售明细'!G2:G1201,'销售明细'!B2:B1201,A6)</f>
        <v/>
      </c>
      <c r="D6" s="7">
        <f>B6-C6</f>
        <v/>
      </c>
      <c r="E6" s="8">
        <f>IF(B6=0,"",D6/B6)</f>
        <v/>
      </c>
    </row>
    <row r="7">
      <c r="A7" s="6" t="inlineStr">
        <is>
          <t>营养补给</t>
        </is>
      </c>
      <c r="B7" s="7">
        <f>SUMIFS('销售明细'!F2:F1201,'销售明细'!B2:B1201,A7)</f>
        <v/>
      </c>
      <c r="C7" s="7">
        <f>SUMIFS('销售明细'!G2:G1201,'销售明细'!B2:B1201,A7)</f>
        <v/>
      </c>
      <c r="D7" s="7">
        <f>B7-C7</f>
        <v/>
      </c>
      <c r="E7" s="8">
        <f>IF(B7=0,"",D7/B7)</f>
        <v/>
      </c>
    </row>
    <row r="8">
      <c r="A8" s="6" t="inlineStr">
        <is>
          <t>智能穿戴</t>
        </is>
      </c>
      <c r="B8" s="7">
        <f>SUMIFS('销售明细'!F2:F1201,'销售明细'!B2:B1201,A8)</f>
        <v/>
      </c>
      <c r="C8" s="7">
        <f>SUMIFS('销售明细'!G2:G1201,'销售明细'!B2:B1201,A8)</f>
        <v/>
      </c>
      <c r="D8" s="7">
        <f>B8-C8</f>
        <v/>
      </c>
      <c r="E8" s="8">
        <f>IF(B8=0,"",D8/B8)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客户汇总（按销售额）</t>
        </is>
      </c>
    </row>
    <row r="3">
      <c r="A3" s="5" t="inlineStr">
        <is>
          <t>客户</t>
        </is>
      </c>
      <c r="B3" s="5" t="inlineStr">
        <is>
          <t>销售额</t>
        </is>
      </c>
      <c r="C3" s="5" t="inlineStr">
        <is>
          <t>成本</t>
        </is>
      </c>
      <c r="D3" s="5" t="inlineStr">
        <is>
          <t>毛利</t>
        </is>
      </c>
      <c r="E3" s="5" t="inlineStr">
        <is>
          <t>毛利率</t>
        </is>
      </c>
    </row>
    <row r="4">
      <c r="A4" s="10" t="inlineStr">
        <is>
          <t>锐动体育用品</t>
        </is>
      </c>
      <c r="B4" s="7">
        <f>SUMIFS('销售明细'!F2:F1201,'销售明细'!E2:E1201,A4)</f>
        <v/>
      </c>
      <c r="C4" s="7">
        <f>SUMIFS('销售明细'!G2:G1201,'销售明细'!E2:E1201,A4)</f>
        <v/>
      </c>
      <c r="D4" s="7">
        <f>B4-C4</f>
        <v/>
      </c>
      <c r="E4" s="8">
        <f>IF(B4=0,"",D4/B4)</f>
        <v/>
      </c>
    </row>
    <row r="5">
      <c r="A5" s="10" t="inlineStr">
        <is>
          <t>启航健身中心</t>
        </is>
      </c>
      <c r="B5" s="7">
        <f>SUMIFS('销售明细'!F2:F1201,'销售明细'!E2:E1201,A5)</f>
        <v/>
      </c>
      <c r="C5" s="7">
        <f>SUMIFS('销售明细'!G2:G1201,'销售明细'!E2:E1201,A5)</f>
        <v/>
      </c>
      <c r="D5" s="7">
        <f>B5-C5</f>
        <v/>
      </c>
      <c r="E5" s="8">
        <f>IF(B5=0,"",D5/B5)</f>
        <v/>
      </c>
    </row>
    <row r="6">
      <c r="A6" s="10" t="inlineStr">
        <is>
          <t>跃动少儿运动馆</t>
        </is>
      </c>
      <c r="B6" s="7">
        <f>SUMIFS('销售明细'!F2:F1201,'销售明细'!E2:E1201,A6)</f>
        <v/>
      </c>
      <c r="C6" s="7">
        <f>SUMIFS('销售明细'!G2:G1201,'销售明细'!E2:E1201,A6)</f>
        <v/>
      </c>
      <c r="D6" s="7">
        <f>B6-C6</f>
        <v/>
      </c>
      <c r="E6" s="8">
        <f>IF(B6=0,"",D6/B6)</f>
        <v/>
      </c>
    </row>
    <row r="7">
      <c r="A7" s="10" t="inlineStr">
        <is>
          <t>恒康营养</t>
        </is>
      </c>
      <c r="B7" s="7">
        <f>SUMIFS('销售明细'!F2:F1201,'销售明细'!E2:E1201,A7)</f>
        <v/>
      </c>
      <c r="C7" s="7">
        <f>SUMIFS('销售明细'!G2:G1201,'销售明细'!E2:E1201,A7)</f>
        <v/>
      </c>
      <c r="D7" s="7">
        <f>B7-C7</f>
        <v/>
      </c>
      <c r="E7" s="8">
        <f>IF(B7=0,"",D7/B7)</f>
        <v/>
      </c>
    </row>
    <row r="8">
      <c r="A8" s="10" t="inlineStr">
        <is>
          <t>锋行体育</t>
        </is>
      </c>
      <c r="B8" s="7">
        <f>SUMIFS('销售明细'!F2:F1201,'销售明细'!E2:E1201,A8)</f>
        <v/>
      </c>
      <c r="C8" s="7">
        <f>SUMIFS('销售明细'!G2:G1201,'销售明细'!E2:E1201,A8)</f>
        <v/>
      </c>
      <c r="D8" s="7">
        <f>B8-C8</f>
        <v/>
      </c>
      <c r="E8" s="8">
        <f>IF(B8=0,"",D8/B8)</f>
        <v/>
      </c>
    </row>
    <row r="9">
      <c r="A9" s="10" t="inlineStr">
        <is>
          <t>小飞侠运动俱乐部</t>
        </is>
      </c>
      <c r="B9" s="7">
        <f>SUMIFS('销售明细'!F2:F1201,'销售明细'!E2:E1201,A9)</f>
        <v/>
      </c>
      <c r="C9" s="7">
        <f>SUMIFS('销售明细'!G2:G1201,'销售明细'!E2:E1201,A9)</f>
        <v/>
      </c>
      <c r="D9" s="7">
        <f>B9-C9</f>
        <v/>
      </c>
      <c r="E9" s="8">
        <f>IF(B9=0,"",D9/B9)</f>
        <v/>
      </c>
    </row>
    <row r="10">
      <c r="A10" s="10" t="inlineStr">
        <is>
          <t>卓越体能训练营</t>
        </is>
      </c>
      <c r="B10" s="7">
        <f>SUMIFS('销售明细'!F2:F1201,'销售明细'!E2:E1201,A10)</f>
        <v/>
      </c>
      <c r="C10" s="7">
        <f>SUMIFS('销售明细'!G2:G1201,'销售明细'!E2:E1201,A10)</f>
        <v/>
      </c>
      <c r="D10" s="7">
        <f>B10-C10</f>
        <v/>
      </c>
      <c r="E10" s="8">
        <f>IF(B10=0,"",D10/B10)</f>
        <v/>
      </c>
    </row>
    <row r="11">
      <c r="A11" s="10" t="inlineStr">
        <is>
          <t>康威运动商城</t>
        </is>
      </c>
      <c r="B11" s="7">
        <f>SUMIFS('销售明细'!F2:F1201,'销售明细'!E2:E1201,A11)</f>
        <v/>
      </c>
      <c r="C11" s="7">
        <f>SUMIFS('销售明细'!G2:G1201,'销售明细'!E2:E1201,A11)</f>
        <v/>
      </c>
      <c r="D11" s="7">
        <f>B11-C11</f>
        <v/>
      </c>
      <c r="E11" s="8">
        <f>IF(B11=0,"",D11/B11)</f>
        <v/>
      </c>
    </row>
    <row r="12">
      <c r="A12" s="10" t="inlineStr">
        <is>
          <t>星跃体育</t>
        </is>
      </c>
      <c r="B12" s="7">
        <f>SUMIFS('销售明细'!F2:F1201,'销售明细'!E2:E1201,A12)</f>
        <v/>
      </c>
      <c r="C12" s="7">
        <f>SUMIFS('销售明细'!G2:G1201,'销售明细'!E2:E1201,A12)</f>
        <v/>
      </c>
      <c r="D12" s="7">
        <f>B12-C12</f>
        <v/>
      </c>
      <c r="E12" s="8">
        <f>IF(B12=0,"",D12/B12)</f>
        <v/>
      </c>
    </row>
    <row r="13">
      <c r="A13" s="10" t="inlineStr">
        <is>
          <t>活力无限健身</t>
        </is>
      </c>
      <c r="B13" s="7">
        <f>SUMIFS('销售明细'!F2:F1201,'销售明细'!E2:E1201,A13)</f>
        <v/>
      </c>
      <c r="C13" s="7">
        <f>SUMIFS('销售明细'!G2:G1201,'销售明细'!E2:E1201,A13)</f>
        <v/>
      </c>
      <c r="D13" s="7">
        <f>B13-C13</f>
        <v/>
      </c>
      <c r="E13" s="8">
        <f>IF(B13=0,"",D13/B13)</f>
        <v/>
      </c>
    </row>
    <row r="14">
      <c r="A14" s="10" t="inlineStr">
        <is>
          <t>篮途体育文化</t>
        </is>
      </c>
      <c r="B14" s="7">
        <f>SUMIFS('销售明细'!F2:F1201,'销售明细'!E2:E1201,A14)</f>
        <v/>
      </c>
      <c r="C14" s="7">
        <f>SUMIFS('销售明细'!G2:G1201,'销售明细'!E2:E1201,A14)</f>
        <v/>
      </c>
      <c r="D14" s="7">
        <f>B14-C14</f>
        <v/>
      </c>
      <c r="E14" s="8">
        <f>IF(B14=0,"",D14/B14)</f>
        <v/>
      </c>
    </row>
    <row r="15">
      <c r="A15" s="10" t="inlineStr">
        <is>
          <t>优加体能中心</t>
        </is>
      </c>
      <c r="B15" s="7">
        <f>SUMIFS('销售明细'!F2:F1201,'销售明细'!E2:E1201,A15)</f>
        <v/>
      </c>
      <c r="C15" s="7">
        <f>SUMIFS('销售明细'!G2:G1201,'销售明细'!E2:E1201,A15)</f>
        <v/>
      </c>
      <c r="D15" s="7">
        <f>B15-C15</f>
        <v/>
      </c>
      <c r="E15" s="8">
        <f>IF(B15=0,"",D15/B15)</f>
        <v/>
      </c>
    </row>
    <row r="16">
      <c r="A16" s="10" t="inlineStr">
        <is>
          <t>健将体育</t>
        </is>
      </c>
      <c r="B16" s="7">
        <f>SUMIFS('销售明细'!F2:F1201,'销售明细'!E2:E1201,A16)</f>
        <v/>
      </c>
      <c r="C16" s="7">
        <f>SUMIFS('销售明细'!G2:G1201,'销售明细'!E2:E1201,A16)</f>
        <v/>
      </c>
      <c r="D16" s="7">
        <f>B16-C16</f>
        <v/>
      </c>
      <c r="E16" s="8">
        <f>IF(B16=0,"",D16/B16)</f>
        <v/>
      </c>
    </row>
    <row r="17">
      <c r="A17" s="10" t="inlineStr">
        <is>
          <t>童行运动馆</t>
        </is>
      </c>
      <c r="B17" s="7">
        <f>SUMIFS('销售明细'!F2:F1201,'销售明细'!E2:E1201,A17)</f>
        <v/>
      </c>
      <c r="C17" s="7">
        <f>SUMIFS('销售明细'!G2:G1201,'销售明细'!E2:E1201,A17)</f>
        <v/>
      </c>
      <c r="D17" s="7">
        <f>B17-C17</f>
        <v/>
      </c>
      <c r="E17" s="8">
        <f>IF(B17=0,"",D17/B17)</f>
        <v/>
      </c>
    </row>
    <row r="18">
      <c r="A18" s="10" t="inlineStr">
        <is>
          <t>劲爆运动用品</t>
        </is>
      </c>
      <c r="B18" s="7">
        <f>SUMIFS('销售明细'!F2:F1201,'销售明细'!E2:E1201,A18)</f>
        <v/>
      </c>
      <c r="C18" s="7">
        <f>SUMIFS('销售明细'!G2:G1201,'销售明细'!E2:E1201,A18)</f>
        <v/>
      </c>
      <c r="D18" s="7">
        <f>B18-C18</f>
        <v/>
      </c>
      <c r="E18" s="8">
        <f>IF(B18=0,"",D18/B18)</f>
        <v/>
      </c>
    </row>
    <row r="19">
      <c r="A19" s="10" t="inlineStr">
        <is>
          <t>领跑体育</t>
        </is>
      </c>
      <c r="B19" s="7">
        <f>SUMIFS('销售明细'!F2:F1201,'销售明细'!E2:E1201,A19)</f>
        <v/>
      </c>
      <c r="C19" s="7">
        <f>SUMIFS('销售明细'!G2:G1201,'销售明细'!E2:E1201,A19)</f>
        <v/>
      </c>
      <c r="D19" s="7">
        <f>B19-C19</f>
        <v/>
      </c>
      <c r="E19" s="8">
        <f>IF(B19=0,"",D19/B19)</f>
        <v/>
      </c>
    </row>
    <row r="20">
      <c r="A20" s="10" t="inlineStr">
        <is>
          <t>天天向上健身</t>
        </is>
      </c>
      <c r="B20" s="7">
        <f>SUMIFS('销售明细'!F2:F1201,'销售明细'!E2:E1201,A20)</f>
        <v/>
      </c>
      <c r="C20" s="7">
        <f>SUMIFS('销售明细'!G2:G1201,'销售明细'!E2:E1201,A20)</f>
        <v/>
      </c>
      <c r="D20" s="7">
        <f>B20-C20</f>
        <v/>
      </c>
      <c r="E20" s="8">
        <f>IF(B20=0,"",D20/B20)</f>
        <v/>
      </c>
    </row>
    <row r="21">
      <c r="A21" s="10" t="inlineStr">
        <is>
          <t>冠军之路俱乐部</t>
        </is>
      </c>
      <c r="B21" s="7">
        <f>SUMIFS('销售明细'!F2:F1201,'销售明细'!E2:E1201,A21)</f>
        <v/>
      </c>
      <c r="C21" s="7">
        <f>SUMIFS('销售明细'!G2:G1201,'销售明细'!E2:E1201,A21)</f>
        <v/>
      </c>
      <c r="D21" s="7">
        <f>B21-C21</f>
        <v/>
      </c>
      <c r="E21" s="8">
        <f>IF(B21=0,"",D21/B21)</f>
        <v/>
      </c>
    </row>
    <row r="22">
      <c r="A22" s="10" t="inlineStr">
        <is>
          <t>迈步体育</t>
        </is>
      </c>
      <c r="B22" s="7">
        <f>SUMIFS('销售明细'!F2:F1201,'销售明细'!E2:E1201,A22)</f>
        <v/>
      </c>
      <c r="C22" s="7">
        <f>SUMIFS('销售明细'!G2:G1201,'销售明细'!E2:E1201,A22)</f>
        <v/>
      </c>
      <c r="D22" s="7">
        <f>B22-C22</f>
        <v/>
      </c>
      <c r="E22" s="8">
        <f>IF(B22=0,"",D22/B22)</f>
        <v/>
      </c>
    </row>
    <row r="23">
      <c r="A23" s="10" t="inlineStr">
        <is>
          <t>飞跃训练营</t>
        </is>
      </c>
      <c r="B23" s="7">
        <f>SUMIFS('销售明细'!F2:F1201,'销售明细'!E2:E1201,A23)</f>
        <v/>
      </c>
      <c r="C23" s="7">
        <f>SUMIFS('销售明细'!G2:G1201,'销售明细'!E2:E1201,A23)</f>
        <v/>
      </c>
      <c r="D23" s="7">
        <f>B23-C23</f>
        <v/>
      </c>
      <c r="E23" s="8">
        <f>IF(B23=0,"",D23/B23)</f>
        <v/>
      </c>
    </row>
    <row r="24">
      <c r="A24" s="10" t="inlineStr">
        <is>
          <t>动能营养</t>
        </is>
      </c>
      <c r="B24" s="7">
        <f>SUMIFS('销售明细'!F2:F1201,'销售明细'!E2:E1201,A24)</f>
        <v/>
      </c>
      <c r="C24" s="7">
        <f>SUMIFS('销售明细'!G2:G1201,'销售明细'!E2:E1201,A24)</f>
        <v/>
      </c>
      <c r="D24" s="7">
        <f>B24-C24</f>
        <v/>
      </c>
      <c r="E24" s="8">
        <f>IF(B24=0,"",D24/B24)</f>
        <v/>
      </c>
    </row>
    <row r="25">
      <c r="A25" s="10" t="inlineStr">
        <is>
          <t>风云篮球馆</t>
        </is>
      </c>
      <c r="B25" s="7">
        <f>SUMIFS('销售明细'!F2:F1201,'销售明细'!E2:E1201,A25)</f>
        <v/>
      </c>
      <c r="C25" s="7">
        <f>SUMIFS('销售明细'!G2:G1201,'销售明细'!E2:E1201,A25)</f>
        <v/>
      </c>
      <c r="D25" s="7">
        <f>B25-C25</f>
        <v/>
      </c>
      <c r="E25" s="8">
        <f>IF(B25=0,"",D25/B25)</f>
        <v/>
      </c>
    </row>
    <row r="26">
      <c r="A26" s="10" t="inlineStr">
        <is>
          <t>小小运动家</t>
        </is>
      </c>
      <c r="B26" s="7">
        <f>SUMIFS('销售明细'!F2:F1201,'销售明细'!E2:E1201,A26)</f>
        <v/>
      </c>
      <c r="C26" s="7">
        <f>SUMIFS('销售明细'!G2:G1201,'销售明细'!E2:E1201,A26)</f>
        <v/>
      </c>
      <c r="D26" s="7">
        <f>B26-C26</f>
        <v/>
      </c>
      <c r="E26" s="8">
        <f>IF(B26=0,"",D26/B26)</f>
        <v/>
      </c>
    </row>
    <row r="27">
      <c r="A27" s="10" t="inlineStr">
        <is>
          <t>强体体育</t>
        </is>
      </c>
      <c r="B27" s="7">
        <f>SUMIFS('销售明细'!F2:F1201,'销售明细'!E2:E1201,A27)</f>
        <v/>
      </c>
      <c r="C27" s="7">
        <f>SUMIFS('销售明细'!G2:G1201,'销售明细'!E2:E1201,A27)</f>
        <v/>
      </c>
      <c r="D27" s="7">
        <f>B27-C27</f>
        <v/>
      </c>
      <c r="E27" s="8">
        <f>IF(B27=0,"",D27/B27)</f>
        <v/>
      </c>
    </row>
    <row r="28">
      <c r="A28" s="10" t="inlineStr">
        <is>
          <t>锐健身工作室</t>
        </is>
      </c>
      <c r="B28" s="7">
        <f>SUMIFS('销售明细'!F2:F1201,'销售明细'!E2:E1201,A28)</f>
        <v/>
      </c>
      <c r="C28" s="7">
        <f>SUMIFS('销售明细'!G2:G1201,'销售明细'!E2:E1201,A28)</f>
        <v/>
      </c>
      <c r="D28" s="7">
        <f>B28-C28</f>
        <v/>
      </c>
      <c r="E28" s="8">
        <f>IF(B28=0,"",D28/B28)</f>
        <v/>
      </c>
    </row>
    <row r="29">
      <c r="A29" s="10" t="inlineStr">
        <is>
          <t>环宇体育</t>
        </is>
      </c>
      <c r="B29" s="7">
        <f>SUMIFS('销售明细'!F2:F1201,'销售明细'!E2:E1201,A29)</f>
        <v/>
      </c>
      <c r="C29" s="7">
        <f>SUMIFS('销售明细'!G2:G1201,'销售明细'!E2:E1201,A29)</f>
        <v/>
      </c>
      <c r="D29" s="7">
        <f>B29-C29</f>
        <v/>
      </c>
      <c r="E29" s="8">
        <f>IF(B29=0,"",D29/B29)</f>
        <v/>
      </c>
    </row>
    <row r="30">
      <c r="A30" s="10" t="inlineStr">
        <is>
          <t>茁长少儿体适能</t>
        </is>
      </c>
      <c r="B30" s="7">
        <f>SUMIFS('销售明细'!F2:F1201,'销售明细'!E2:E1201,A30)</f>
        <v/>
      </c>
      <c r="C30" s="7">
        <f>SUMIFS('销售明细'!G2:G1201,'销售明细'!E2:E1201,A30)</f>
        <v/>
      </c>
      <c r="D30" s="7">
        <f>B30-C30</f>
        <v/>
      </c>
      <c r="E30" s="8">
        <f>IF(B30=0,"",D30/B30)</f>
        <v/>
      </c>
    </row>
    <row r="31">
      <c r="A31" s="10" t="inlineStr">
        <is>
          <t>巅峰运动</t>
        </is>
      </c>
      <c r="B31" s="7">
        <f>SUMIFS('销售明细'!F2:F1201,'销售明细'!E2:E1201,A31)</f>
        <v/>
      </c>
      <c r="C31" s="7">
        <f>SUMIFS('销售明细'!G2:G1201,'销售明细'!E2:E1201,A31)</f>
        <v/>
      </c>
      <c r="D31" s="7">
        <f>B31-C31</f>
        <v/>
      </c>
      <c r="E31" s="8">
        <f>IF(B31=0,"",D31/B31)</f>
        <v/>
      </c>
    </row>
    <row r="32">
      <c r="A32" s="10" t="inlineStr">
        <is>
          <t>乐动体育</t>
        </is>
      </c>
      <c r="B32" s="7">
        <f>SUMIFS('销售明细'!F2:F1201,'销售明细'!E2:E1201,A32)</f>
        <v/>
      </c>
      <c r="C32" s="7">
        <f>SUMIFS('销售明细'!G2:G1201,'销售明细'!E2:E1201,A32)</f>
        <v/>
      </c>
      <c r="D32" s="7">
        <f>B32-C32</f>
        <v/>
      </c>
      <c r="E32" s="8">
        <f>IF(B32=0,"",D32/B32)</f>
        <v/>
      </c>
    </row>
    <row r="33">
      <c r="A33" s="10" t="inlineStr">
        <is>
          <t>极客穿戴</t>
        </is>
      </c>
      <c r="B33" s="7">
        <f>SUMIFS('销售明细'!F2:F1201,'销售明细'!E2:E1201,A33)</f>
        <v/>
      </c>
      <c r="C33" s="7">
        <f>SUMIFS('销售明细'!G2:G1201,'销售明细'!E2:E1201,A33)</f>
        <v/>
      </c>
      <c r="D33" s="7">
        <f>B33-C33</f>
        <v/>
      </c>
      <c r="E33" s="8">
        <f>IF(B33=0,"",D33/B33)</f>
        <v/>
      </c>
    </row>
    <row r="34">
      <c r="A34" s="10" t="inlineStr">
        <is>
          <t>腾飞体育用品</t>
        </is>
      </c>
      <c r="B34" s="7">
        <f>SUMIFS('销售明细'!F2:F1201,'销售明细'!E2:E1201,A34)</f>
        <v/>
      </c>
      <c r="C34" s="7">
        <f>SUMIFS('销售明细'!G2:G1201,'销售明细'!E2:E1201,A34)</f>
        <v/>
      </c>
      <c r="D34" s="7">
        <f>B34-C34</f>
        <v/>
      </c>
      <c r="E34" s="8">
        <f>IF(B34=0,"",D34/B34)</f>
        <v/>
      </c>
    </row>
    <row r="35">
      <c r="A35" s="10" t="inlineStr">
        <is>
          <t>阳光体能</t>
        </is>
      </c>
      <c r="B35" s="7">
        <f>SUMIFS('销售明细'!F2:F1201,'销售明细'!E2:E1201,A35)</f>
        <v/>
      </c>
      <c r="C35" s="7">
        <f>SUMIFS('销售明细'!G2:G1201,'销售明细'!E2:E1201,A35)</f>
        <v/>
      </c>
      <c r="D35" s="7">
        <f>B35-C35</f>
        <v/>
      </c>
      <c r="E35" s="8">
        <f>IF(B35=0,"",D35/B35)</f>
        <v/>
      </c>
    </row>
    <row r="36">
      <c r="A36" s="10" t="inlineStr">
        <is>
          <t>悍将运动</t>
        </is>
      </c>
      <c r="B36" s="7">
        <f>SUMIFS('销售明细'!F2:F1201,'销售明细'!E2:E1201,A36)</f>
        <v/>
      </c>
      <c r="C36" s="7">
        <f>SUMIFS('销售明细'!G2:G1201,'销售明细'!E2:E1201,A36)</f>
        <v/>
      </c>
      <c r="D36" s="7">
        <f>B36-C36</f>
        <v/>
      </c>
      <c r="E36" s="8">
        <f>IF(B36=0,"",D36/B36)</f>
        <v/>
      </c>
    </row>
    <row r="37">
      <c r="A37" s="10" t="inlineStr">
        <is>
          <t>智练体育</t>
        </is>
      </c>
      <c r="B37" s="7">
        <f>SUMIFS('销售明细'!F2:F1201,'销售明细'!E2:E1201,A37)</f>
        <v/>
      </c>
      <c r="C37" s="7">
        <f>SUMIFS('销售明细'!G2:G1201,'销售明细'!E2:E1201,A37)</f>
        <v/>
      </c>
      <c r="D37" s="7">
        <f>B37-C37</f>
        <v/>
      </c>
      <c r="E37" s="8">
        <f>IF(B37=0,"",D37/B37)</f>
        <v/>
      </c>
    </row>
    <row r="38">
      <c r="A38" s="10" t="inlineStr">
        <is>
          <t>元气营养</t>
        </is>
      </c>
      <c r="B38" s="7">
        <f>SUMIFS('销售明细'!F2:F1201,'销售明细'!E2:E1201,A38)</f>
        <v/>
      </c>
      <c r="C38" s="7">
        <f>SUMIFS('销售明细'!G2:G1201,'销售明细'!E2:E1201,A38)</f>
        <v/>
      </c>
      <c r="D38" s="7">
        <f>B38-C38</f>
        <v/>
      </c>
      <c r="E38" s="8">
        <f>IF(B38=0,"",D38/B38)</f>
        <v/>
      </c>
    </row>
    <row r="39">
      <c r="A39" s="10" t="inlineStr">
        <is>
          <t>雷霆篮球</t>
        </is>
      </c>
      <c r="B39" s="7">
        <f>SUMIFS('销售明细'!F2:F1201,'销售明细'!E2:E1201,A39)</f>
        <v/>
      </c>
      <c r="C39" s="7">
        <f>SUMIFS('销售明细'!G2:G1201,'销售明细'!E2:E1201,A39)</f>
        <v/>
      </c>
      <c r="D39" s="7">
        <f>B39-C39</f>
        <v/>
      </c>
      <c r="E39" s="8">
        <f>IF(B39=0,"",D39/B39)</f>
        <v/>
      </c>
    </row>
    <row r="40">
      <c r="A40" s="10" t="inlineStr">
        <is>
          <t>成长树运动馆</t>
        </is>
      </c>
      <c r="B40" s="7">
        <f>SUMIFS('销售明细'!F2:F1201,'销售明细'!E2:E1201,A40)</f>
        <v/>
      </c>
      <c r="C40" s="7">
        <f>SUMIFS('销售明细'!G2:G1201,'销售明细'!E2:E1201,A40)</f>
        <v/>
      </c>
      <c r="D40" s="7">
        <f>B40-C40</f>
        <v/>
      </c>
      <c r="E40" s="8">
        <f>IF(B40=0,"",D40/B40)</f>
        <v/>
      </c>
    </row>
    <row r="41">
      <c r="A41" s="10" t="inlineStr">
        <is>
          <t>超能体育</t>
        </is>
      </c>
      <c r="B41" s="7">
        <f>SUMIFS('销售明细'!F2:F1201,'销售明细'!E2:E1201,A41)</f>
        <v/>
      </c>
      <c r="C41" s="7">
        <f>SUMIFS('销售明细'!G2:G1201,'销售明细'!E2:E1201,A41)</f>
        <v/>
      </c>
      <c r="D41" s="7">
        <f>B41-C41</f>
        <v/>
      </c>
      <c r="E41" s="8">
        <f>IF(B41=0,"",D41/B41)</f>
        <v/>
      </c>
    </row>
    <row r="42">
      <c r="A42" s="10" t="inlineStr">
        <is>
          <t>风尚健身</t>
        </is>
      </c>
      <c r="B42" s="7">
        <f>SUMIFS('销售明细'!F2:F1201,'销售明细'!E2:E1201,A42)</f>
        <v/>
      </c>
      <c r="C42" s="7">
        <f>SUMIFS('销售明细'!G2:G1201,'销售明细'!E2:E1201,A42)</f>
        <v/>
      </c>
      <c r="D42" s="7">
        <f>B42-C42</f>
        <v/>
      </c>
      <c r="E42" s="8">
        <f>IF(B42=0,"",D42/B42)</f>
        <v/>
      </c>
    </row>
    <row r="43">
      <c r="A43" s="10" t="inlineStr">
        <is>
          <t>纵横运动</t>
        </is>
      </c>
      <c r="B43" s="7">
        <f>SUMIFS('销售明细'!F2:F1201,'销售明细'!E2:E1201,A43)</f>
        <v/>
      </c>
      <c r="C43" s="7">
        <f>SUMIFS('销售明细'!G2:G1201,'销售明细'!E2:E1201,A43)</f>
        <v/>
      </c>
      <c r="D43" s="7">
        <f>B43-C43</f>
        <v/>
      </c>
      <c r="E43" s="8">
        <f>IF(B43=0,"",D43/B43)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Top 10 客户贡献</t>
        </is>
      </c>
    </row>
    <row r="3">
      <c r="A3" s="5" t="inlineStr">
        <is>
          <t>排名</t>
        </is>
      </c>
      <c r="B3" s="5" t="inlineStr">
        <is>
          <t>客户</t>
        </is>
      </c>
      <c r="C3" s="5" t="inlineStr">
        <is>
          <t>销售额</t>
        </is>
      </c>
      <c r="D3" s="5" t="inlineStr">
        <is>
          <t>毛利</t>
        </is>
      </c>
      <c r="E3" s="5" t="inlineStr">
        <is>
          <t>贡献占比</t>
        </is>
      </c>
      <c r="F3" s="5" t="inlineStr">
        <is>
          <t>累计占比</t>
        </is>
      </c>
    </row>
    <row r="4">
      <c r="A4" s="6" t="n">
        <v>1</v>
      </c>
      <c r="B4" s="10">
        <f>INDEX('客户汇总'!A4:A43,MATCH(LARGE('客户汇总'!B4:B43,A4),'客户汇总'!B4:B43,0))</f>
        <v/>
      </c>
      <c r="C4" s="7">
        <f>LARGE('客户汇总'!B4:B43,A4)</f>
        <v/>
      </c>
      <c r="D4" s="7">
        <f>INDEX('客户汇总'!D4:D43,MATCH(B4,'客户汇总'!A4:A43,0))</f>
        <v/>
      </c>
      <c r="E4" s="8">
        <f>C4/SUM('客户汇总'!B4:B43)</f>
        <v/>
      </c>
      <c r="F4" s="8">
        <f>E4</f>
        <v/>
      </c>
    </row>
    <row r="5">
      <c r="A5" s="6" t="n">
        <v>2</v>
      </c>
      <c r="B5" s="10">
        <f>INDEX('客户汇总'!A4:A43,MATCH(LARGE('客户汇总'!B4:B43,A5),'客户汇总'!B4:B43,0))</f>
        <v/>
      </c>
      <c r="C5" s="7">
        <f>LARGE('客户汇总'!B4:B43,A5)</f>
        <v/>
      </c>
      <c r="D5" s="7">
        <f>INDEX('客户汇总'!D4:D43,MATCH(B5,'客户汇总'!A4:A43,0))</f>
        <v/>
      </c>
      <c r="E5" s="8">
        <f>C5/SUM('客户汇总'!B4:B43)</f>
        <v/>
      </c>
      <c r="F5" s="8">
        <f>F4+E5</f>
        <v/>
      </c>
    </row>
    <row r="6">
      <c r="A6" s="6" t="n">
        <v>3</v>
      </c>
      <c r="B6" s="10">
        <f>INDEX('客户汇总'!A4:A43,MATCH(LARGE('客户汇总'!B4:B43,A6),'客户汇总'!B4:B43,0))</f>
        <v/>
      </c>
      <c r="C6" s="7">
        <f>LARGE('客户汇总'!B4:B43,A6)</f>
        <v/>
      </c>
      <c r="D6" s="7">
        <f>INDEX('客户汇总'!D4:D43,MATCH(B6,'客户汇总'!A4:A43,0))</f>
        <v/>
      </c>
      <c r="E6" s="8">
        <f>C6/SUM('客户汇总'!B4:B43)</f>
        <v/>
      </c>
      <c r="F6" s="8">
        <f>F5+E6</f>
        <v/>
      </c>
    </row>
    <row r="7">
      <c r="A7" s="6" t="n">
        <v>4</v>
      </c>
      <c r="B7" s="10">
        <f>INDEX('客户汇总'!A4:A43,MATCH(LARGE('客户汇总'!B4:B43,A7),'客户汇总'!B4:B43,0))</f>
        <v/>
      </c>
      <c r="C7" s="7">
        <f>LARGE('客户汇总'!B4:B43,A7)</f>
        <v/>
      </c>
      <c r="D7" s="7">
        <f>INDEX('客户汇总'!D4:D43,MATCH(B7,'客户汇总'!A4:A43,0))</f>
        <v/>
      </c>
      <c r="E7" s="8">
        <f>C7/SUM('客户汇总'!B4:B43)</f>
        <v/>
      </c>
      <c r="F7" s="8">
        <f>F6+E7</f>
        <v/>
      </c>
    </row>
    <row r="8">
      <c r="A8" s="6" t="n">
        <v>5</v>
      </c>
      <c r="B8" s="10">
        <f>INDEX('客户汇总'!A4:A43,MATCH(LARGE('客户汇总'!B4:B43,A8),'客户汇总'!B4:B43,0))</f>
        <v/>
      </c>
      <c r="C8" s="7">
        <f>LARGE('客户汇总'!B4:B43,A8)</f>
        <v/>
      </c>
      <c r="D8" s="7">
        <f>INDEX('客户汇总'!D4:D43,MATCH(B8,'客户汇总'!A4:A43,0))</f>
        <v/>
      </c>
      <c r="E8" s="8">
        <f>C8/SUM('客户汇总'!B4:B43)</f>
        <v/>
      </c>
      <c r="F8" s="8">
        <f>F7+E8</f>
        <v/>
      </c>
    </row>
    <row r="9">
      <c r="A9" s="6" t="n">
        <v>6</v>
      </c>
      <c r="B9" s="10">
        <f>INDEX('客户汇总'!A4:A43,MATCH(LARGE('客户汇总'!B4:B43,A9),'客户汇总'!B4:B43,0))</f>
        <v/>
      </c>
      <c r="C9" s="7">
        <f>LARGE('客户汇总'!B4:B43,A9)</f>
        <v/>
      </c>
      <c r="D9" s="7">
        <f>INDEX('客户汇总'!D4:D43,MATCH(B9,'客户汇总'!A4:A43,0))</f>
        <v/>
      </c>
      <c r="E9" s="8">
        <f>C9/SUM('客户汇总'!B4:B43)</f>
        <v/>
      </c>
      <c r="F9" s="8">
        <f>F8+E9</f>
        <v/>
      </c>
    </row>
    <row r="10">
      <c r="A10" s="6" t="n">
        <v>7</v>
      </c>
      <c r="B10" s="10">
        <f>INDEX('客户汇总'!A4:A43,MATCH(LARGE('客户汇总'!B4:B43,A10),'客户汇总'!B4:B43,0))</f>
        <v/>
      </c>
      <c r="C10" s="7">
        <f>LARGE('客户汇总'!B4:B43,A10)</f>
        <v/>
      </c>
      <c r="D10" s="7">
        <f>INDEX('客户汇总'!D4:D43,MATCH(B10,'客户汇总'!A4:A43,0))</f>
        <v/>
      </c>
      <c r="E10" s="8">
        <f>C10/SUM('客户汇总'!B4:B43)</f>
        <v/>
      </c>
      <c r="F10" s="8">
        <f>F9+E10</f>
        <v/>
      </c>
    </row>
    <row r="11">
      <c r="A11" s="6" t="n">
        <v>8</v>
      </c>
      <c r="B11" s="10">
        <f>INDEX('客户汇总'!A4:A43,MATCH(LARGE('客户汇总'!B4:B43,A11),'客户汇总'!B4:B43,0))</f>
        <v/>
      </c>
      <c r="C11" s="7">
        <f>LARGE('客户汇总'!B4:B43,A11)</f>
        <v/>
      </c>
      <c r="D11" s="7">
        <f>INDEX('客户汇总'!D4:D43,MATCH(B11,'客户汇总'!A4:A43,0))</f>
        <v/>
      </c>
      <c r="E11" s="8">
        <f>C11/SUM('客户汇总'!B4:B43)</f>
        <v/>
      </c>
      <c r="F11" s="8">
        <f>F10+E11</f>
        <v/>
      </c>
    </row>
    <row r="12">
      <c r="A12" s="6" t="n">
        <v>9</v>
      </c>
      <c r="B12" s="10">
        <f>INDEX('客户汇总'!A4:A43,MATCH(LARGE('客户汇总'!B4:B43,A12),'客户汇总'!B4:B43,0))</f>
        <v/>
      </c>
      <c r="C12" s="7">
        <f>LARGE('客户汇总'!B4:B43,A12)</f>
        <v/>
      </c>
      <c r="D12" s="7">
        <f>INDEX('客户汇总'!D4:D43,MATCH(B12,'客户汇总'!A4:A43,0))</f>
        <v/>
      </c>
      <c r="E12" s="8">
        <f>C12/SUM('客户汇总'!B4:B43)</f>
        <v/>
      </c>
      <c r="F12" s="8">
        <f>F11+E12</f>
        <v/>
      </c>
    </row>
    <row r="13">
      <c r="A13" s="6" t="n">
        <v>10</v>
      </c>
      <c r="B13" s="10">
        <f>INDEX('客户汇总'!A4:A43,MATCH(LARGE('客户汇总'!B4:B43,A13),'客户汇总'!B4:B43,0))</f>
        <v/>
      </c>
      <c r="C13" s="7">
        <f>LARGE('客户汇总'!B4:B43,A13)</f>
        <v/>
      </c>
      <c r="D13" s="7">
        <f>INDEX('客户汇总'!D4:D43,MATCH(B13,'客户汇总'!A4:A43,0))</f>
        <v/>
      </c>
      <c r="E13" s="8">
        <f>C13/SUM('客户汇总'!B4:B43)</f>
        <v/>
      </c>
      <c r="F13" s="8">
        <f>F12+E13</f>
        <v/>
      </c>
    </row>
    <row r="15">
      <c r="B15" s="11" t="inlineStr">
        <is>
          <t>合计</t>
        </is>
      </c>
      <c r="C15" s="12">
        <f>SUM(C4:C13)</f>
        <v/>
      </c>
      <c r="E15" s="13">
        <f>SUM(E4:E13)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KPI 达成率仪表盘</t>
        </is>
      </c>
    </row>
    <row r="2">
      <c r="A2" s="2" t="inlineStr">
        <is>
          <t>达成率 = 实际值 / 目标值；数据条直观展示完成进度</t>
        </is>
      </c>
    </row>
    <row r="4">
      <c r="A4" s="5" t="inlineStr">
        <is>
          <t>KPI 指标</t>
        </is>
      </c>
      <c r="B4" s="5" t="inlineStr">
        <is>
          <t>目标</t>
        </is>
      </c>
      <c r="C4" s="5" t="inlineStr">
        <is>
          <t>实际</t>
        </is>
      </c>
      <c r="D4" s="5" t="inlineStr">
        <is>
          <t>达成率</t>
        </is>
      </c>
      <c r="E4" s="5" t="inlineStr">
        <is>
          <t>状态</t>
        </is>
      </c>
    </row>
    <row r="5">
      <c r="A5" s="10" t="inlineStr">
        <is>
          <t>年销售额(元)</t>
        </is>
      </c>
      <c r="B5" s="14" t="n">
        <v>72000000</v>
      </c>
      <c r="C5" s="14">
        <f>SUM('销售明细'!F2:F1201)</f>
        <v/>
      </c>
      <c r="D5" s="15">
        <f>IF(C5=0,"",C5/B5)</f>
        <v/>
      </c>
      <c r="E5" s="6">
        <f>IF(D5="","",IF(D5&gt;=1,"达标",IF(D5&gt;=0.8,"接近","未达标")))</f>
        <v/>
      </c>
    </row>
    <row r="6">
      <c r="A6" s="10" t="inlineStr">
        <is>
          <t>年毛利(元)</t>
        </is>
      </c>
      <c r="B6" s="14" t="n">
        <v>25000000</v>
      </c>
      <c r="C6" s="14">
        <f>SUM('销售明细'!F2:F1201)-SUM('销售明细'!G2:G1201)</f>
        <v/>
      </c>
      <c r="D6" s="15">
        <f>IF(C6=0,"",C6/B6)</f>
        <v/>
      </c>
      <c r="E6" s="6">
        <f>IF(D6="","",IF(D6&gt;=1,"达标",IF(D6&gt;=0.8,"接近","未达标")))</f>
        <v/>
      </c>
    </row>
    <row r="7">
      <c r="A7" s="10" t="inlineStr">
        <is>
          <t>平均毛利率</t>
        </is>
      </c>
      <c r="B7" s="15" t="n">
        <v>0.33</v>
      </c>
      <c r="C7" s="15">
        <f>IF(SUM('销售明细'!F2:F1201)=0,"",(SUM('销售明细'!F2:F1201)-SUM('销售明细'!G2:G1201))/SUM('销售明细'!F2:F1201))</f>
        <v/>
      </c>
      <c r="D7" s="15">
        <f>IF(C7=0,"",C7/B7)</f>
        <v/>
      </c>
      <c r="E7" s="6">
        <f>IF(D7="","",IF(D7&gt;=1,"达标",IF(D7&gt;=0.8,"接近","未达标")))</f>
        <v/>
      </c>
    </row>
    <row r="8">
      <c r="A8" s="10" t="inlineStr">
        <is>
          <t>Top10客户贡献占比</t>
        </is>
      </c>
      <c r="B8" s="15" t="n">
        <v>0.3</v>
      </c>
      <c r="C8" s="15">
        <f>SUM('Top10客户'!E4:E13)</f>
        <v/>
      </c>
      <c r="D8" s="15">
        <f>IF(C8=0,"",C8/B8)</f>
        <v/>
      </c>
      <c r="E8" s="6">
        <f>IF(D8="","",IF(D8&gt;=1,"达标",IF(D8&gt;=0.8,"接近","未达标")))</f>
        <v/>
      </c>
    </row>
    <row r="9">
      <c r="A9" s="10" t="inlineStr">
        <is>
          <t>活跃销售员数</t>
        </is>
      </c>
      <c r="B9" s="15" t="n">
        <v>5</v>
      </c>
      <c r="C9" s="15">
        <f>SUMPRODUCT(1/COUNTIF('销售明细'!D2:D1201,'销售明细'!D2:D1201))</f>
        <v/>
      </c>
      <c r="D9" s="15">
        <f>IF(C9=0,"",C9/B9)</f>
        <v/>
      </c>
      <c r="E9" s="6">
        <f>IF(D9="","",IF(D9&gt;=1,"达标",IF(D9&gt;=0.8,"接近","未达标")))</f>
        <v/>
      </c>
    </row>
  </sheetData>
  <conditionalFormatting sqref="D5:D9">
    <cfRule type="dataBar" priority="1">
      <dataBar showValue="1">
        <cfvo type="num" val="0"/>
        <cfvo type="num" val="1.2"/>
        <color rgb="001F4E78"/>
      </dataBar>
    </cfRule>
  </conditionalFormatting>
  <conditionalFormatting sqref="E5:E9">
    <cfRule type="cellIs" priority="2" operator="equal" dxfId="0">
      <formula>"达标"</formula>
    </cfRule>
    <cfRule type="cellIs" priority="3" operator="equal" dxfId="1">
      <formula>"未达标"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2026-08-19T14:09:31Z</dcterms:created>
  <dcterms:modified xsi:type="dcterms:W3CDTF">2026-08-19T14:09:31Z</dcterms:modified>
</cp:coreProperties>
</file>