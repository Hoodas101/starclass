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考勤明细" sheetId="2" state="visible" r:id="rId2"/>
    <sheet name="老师薪酬" sheetId="3" state="visible" r:id="rId3"/>
    <sheet name="课次薪酬" sheetId="4" state="visible" r:id="rId4"/>
    <sheet name="统计看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2F5496"/>
      <sz val="14"/>
    </font>
    <font>
      <b val="1"/>
      <color rgb="FFFFFFFF"/>
      <sz val="11"/>
    </font>
    <font>
      <i val="1"/>
      <color rgb="FF808080"/>
      <sz val="9"/>
    </font>
    <font>
      <b val="1"/>
    </font>
    <font>
      <b val="1"/>
      <color rgb="FF2F5496"/>
    </font>
    <font>
      <name val="Calibri"/>
      <family val="2"/>
      <color theme="1"/>
      <sz val="11"/>
      <scheme val="minor"/>
    </font>
    <font>
      <b val="1"/>
      <sz val="14"/>
    </font>
    <font>
      <color rgb="FF555555"/>
      <sz val="10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/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 count="1">
    <xf numFmtId="0" fontId="8" fillId="4" borderId="2"/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2" pivotButton="0" quotePrefix="0" xfId="0"/>
    <xf numFmtId="0" fontId="8" fillId="4" borderId="2" pivotButton="0" quotePrefix="0" xfId="0"/>
    <xf numFmtId="0" fontId="4" fillId="2" borderId="1" applyAlignment="1" pivotButton="0" quotePrefix="0" xfId="0">
      <alignment horizontal="center" vertical="center"/>
    </xf>
    <xf numFmtId="164" fontId="8" fillId="4" borderId="1" pivotButton="0" quotePrefix="0" xfId="0"/>
    <xf numFmtId="0" fontId="8" fillId="4" borderId="1" pivotButton="0" quotePrefix="0" xfId="0"/>
    <xf numFmtId="0" fontId="5" fillId="4" borderId="2" pivotButton="0" quotePrefix="0" xfId="0"/>
    <xf numFmtId="0" fontId="6" fillId="4" borderId="2" pivotButton="0" quotePrefix="0" xfId="0"/>
    <xf numFmtId="0" fontId="6" fillId="3" borderId="2" pivotButton="0" quotePrefix="0" xfId="0"/>
    <xf numFmtId="0" fontId="7" fillId="4" borderId="2" pivotButton="0" quotePrefix="0" xfId="0"/>
    <xf numFmtId="0" fontId="4" fillId="2" borderId="2" applyAlignment="1" pivotButton="0" quotePrefix="0" xfId="0">
      <alignment horizontal="center" vertical="center"/>
    </xf>
    <xf numFmtId="165" fontId="8" fillId="4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/>
    </xf>
    <xf numFmtId="0" fontId="11" fillId="6" borderId="2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3" fillId="4" borderId="2" pivotButton="0" quotePrefix="0" xfId="0"/>
    <xf numFmtId="0" fontId="6" fillId="4" borderId="2" pivotButton="0" quotePrefix="0" xfId="0"/>
    <xf numFmtId="0" fontId="8" fillId="4" borderId="2" pivotButton="0" quotePrefix="0" xfId="0"/>
    <xf numFmtId="0" fontId="4" fillId="2" borderId="1" applyAlignment="1" pivotButton="0" quotePrefix="0" xfId="0">
      <alignment horizontal="center" vertical="center"/>
    </xf>
    <xf numFmtId="164" fontId="8" fillId="4" borderId="1" pivotButton="0" quotePrefix="0" xfId="0"/>
    <xf numFmtId="0" fontId="8" fillId="4" borderId="1" pivotButton="0" quotePrefix="0" xfId="0"/>
    <xf numFmtId="0" fontId="5" fillId="4" borderId="2" pivotButton="0" quotePrefix="0" xfId="0"/>
    <xf numFmtId="0" fontId="11" fillId="5" borderId="2" applyAlignment="1" pivotButton="0" quotePrefix="0" xfId="0">
      <alignment horizontal="center"/>
    </xf>
    <xf numFmtId="0" fontId="11" fillId="6" borderId="2" applyAlignment="1" pivotButton="0" quotePrefix="0" xfId="0">
      <alignment horizontal="center"/>
    </xf>
    <xf numFmtId="0" fontId="6" fillId="3" borderId="2" pivotButton="0" quotePrefix="0" xfId="0"/>
    <xf numFmtId="165" fontId="0" fillId="0" borderId="0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/>
    </xf>
    <xf numFmtId="165" fontId="8" fillId="4" borderId="1" pivotButton="0" quotePrefix="0" xfId="0"/>
    <xf numFmtId="0" fontId="7" fillId="4" borderId="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1" workbookViewId="0">
      <selection activeCell="A1" sqref="A1"/>
    </sheetView>
  </sheetViews>
  <sheetFormatPr baseColWidth="8" defaultRowHeight="15"/>
  <cols>
    <col width="105" customWidth="1" style="3" min="1" max="1"/>
  </cols>
  <sheetData>
    <row r="1">
      <c r="A1" s="22" t="inlineStr">
        <is>
          <t>教培极简考勤 · 薪酬模板</t>
        </is>
      </c>
    </row>
    <row r="2"/>
    <row r="3">
      <c r="A3" s="23" t="inlineStr">
        <is>
          <t>用法（照着做，零代码）：</t>
        </is>
      </c>
    </row>
    <row r="4">
      <c r="A4" s="24" t="inlineStr">
        <is>
          <t>1. 【考勤明细】每行记一名学员的一节课：日期 / 课次 / 授课老师 / 学员姓名 / 状态（出勤 / 缺勤 / 请假）。F、G 两列自动算，无需手填。</t>
        </is>
      </c>
    </row>
    <row r="5">
      <c r="A5" s="24" t="inlineStr">
        <is>
          <t>2. 【教练设置】在【老师薪酬】表每位老师一行，B 列选“教练类型”：兼职 / 全职 / 一对一。</t>
        </is>
      </c>
    </row>
    <row r="6">
      <c r="A6" s="24" t="inlineStr">
        <is>
          <t>3. 【课次薪酬】每节课一行：A 列填课次名称（与考勤明细一致），本节课薪酬按老师类型自动算；一对一在 E 列填每节课售价。</t>
        </is>
      </c>
    </row>
    <row r="7">
      <c r="A7" s="24" t="inlineStr">
        <is>
          <t>4. 【统计看板】自动算：当次/当天/当月人数、每位学员上课数、每位老师的人次与课数。</t>
        </is>
      </c>
    </row>
    <row r="8">
      <c r="A8" s="0" t="inlineStr">
        <is>
          <t>5. 【老师薪酬】按老师汇总所有课的薪酬，自动得出当月薪酬。</t>
        </is>
      </c>
    </row>
    <row r="9">
      <c r="A9" s="24" t="inlineStr"/>
    </row>
    <row r="10">
      <c r="A10" s="23" t="inlineStr">
        <is>
          <t>三种薪酬模式（按“教练类型”自动切换）：</t>
        </is>
      </c>
    </row>
    <row r="11">
      <c r="A11" s="24" t="inlineStr">
        <is>
          <t>· 兼职教练：每节课出勤 &lt; 15 人 → 80 元；≥ 15 人 → 120 元（按节计）。</t>
        </is>
      </c>
    </row>
    <row r="12">
      <c r="A12" s="24" t="inlineStr">
        <is>
          <t>· 全职教练：本节课出勤人数 × 5 元（按人计）。</t>
        </is>
      </c>
    </row>
    <row r="13">
      <c r="A13" s="24" t="inlineStr">
        <is>
          <t>· 一对一：每节课售价 × 40%（按节计，每节课一名学生；售价填在【课次薪酬】E 列“课次售价”）。</t>
        </is>
      </c>
    </row>
    <row r="14">
      <c r="A14" s="16" t="inlineStr">
        <is>
          <t>（老师薪酬 = SUMIFS(课次薪酬!本节课薪酬, 课次薪酬!授课老师, 该老师)，自动汇总所有课。）</t>
        </is>
      </c>
    </row>
    <row r="15">
      <c r="A15" s="24" t="inlineStr"/>
    </row>
    <row r="16">
      <c r="A16" s="23" t="inlineStr">
        <is>
          <t>统计口径：</t>
        </is>
      </c>
    </row>
    <row r="17">
      <c r="A17" s="0" t="inlineStr">
        <is>
          <t>· 人数与人次只统计状态为出勤的；缺勤、请假不计入。</t>
        </is>
      </c>
    </row>
    <row r="18">
      <c r="A18" s="0" t="inlineStr">
        <is>
          <t>· 老师课数 = 去重后的课次数量（同老师同课次只算 1 节）；人次 = 该老师名下出勤学员总次数。</t>
        </is>
      </c>
    </row>
    <row r="19">
      <c r="A19" s="0" t="inlineStr">
        <is>
          <t>· 当月统计看【统计看板】B3 统计年月（格式 2026-08），改它即可换月（作用于看板顶部当月指标）。</t>
        </is>
      </c>
    </row>
    <row r="20">
      <c r="A20" s="0" t="inlineStr">
        <is>
          <t>· 课次、学员、老师列表、教练类型、课次售价均可按需加行，公式已写好自动生效。</t>
        </is>
      </c>
    </row>
    <row r="21"/>
    <row r="22">
      <c r="A22" s="0" t="inlineStr">
        <is>
          <t>提示：本模板可直接上传腾讯文档 / 飞书使用；首次上传后若数字显示 0，点一下重新计算 / 刷新即可。</t>
        </is>
      </c>
    </row>
    <row r="23">
      <c r="A23" s="0" t="inlineStr">
        <is>
          <t>注意：一对一售价每次可能不同，请按实际每节课填在【课次薪酬】E 列，不要填在【老师薪酬】里。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style="3" min="1" max="1"/>
    <col width="20" customWidth="1" style="3" min="2" max="2"/>
    <col width="12" customWidth="1" style="3" min="3" max="3"/>
    <col width="12" customWidth="1" style="3" min="4" max="4"/>
    <col width="10" customWidth="1" style="3" min="5" max="5"/>
    <col width="16" customWidth="1" style="3" min="6" max="6"/>
    <col width="14" customWidth="1" style="3" min="7" max="7"/>
  </cols>
  <sheetData>
    <row r="1">
      <c r="A1" s="25" t="inlineStr">
        <is>
          <t>日期</t>
        </is>
      </c>
      <c r="B1" s="25" t="inlineStr">
        <is>
          <t>课次</t>
        </is>
      </c>
      <c r="C1" s="25" t="inlineStr">
        <is>
          <t>授课老师</t>
        </is>
      </c>
      <c r="D1" s="25" t="inlineStr">
        <is>
          <t>学员姓名</t>
        </is>
      </c>
      <c r="E1" s="25" t="inlineStr">
        <is>
          <t>状态</t>
        </is>
      </c>
      <c r="F1" s="25" t="inlineStr">
        <is>
          <t>_课次老师键</t>
        </is>
      </c>
      <c r="G1" s="25" t="inlineStr">
        <is>
          <t>_是否课次首条</t>
        </is>
      </c>
    </row>
    <row r="2">
      <c r="A2" s="26" t="n">
        <v>46246</v>
      </c>
      <c r="B2" s="27" t="inlineStr">
        <is>
          <t>8/12上午·篮球初级</t>
        </is>
      </c>
      <c r="C2" s="27" t="inlineStr">
        <is>
          <t>张三</t>
        </is>
      </c>
      <c r="D2" s="27" t="inlineStr">
        <is>
          <t>李小明</t>
        </is>
      </c>
      <c r="E2" s="27" t="inlineStr">
        <is>
          <t>出勤</t>
        </is>
      </c>
      <c r="F2" s="24">
        <f>C2&amp;"|"&amp;B2</f>
        <v/>
      </c>
      <c r="G2" s="24">
        <f>IF(COUNTIFS($C$2:C2,C2,$B$2:B2,B2)=1,1,0)</f>
        <v/>
      </c>
    </row>
    <row r="3">
      <c r="A3" s="26" t="n">
        <v>46246</v>
      </c>
      <c r="B3" s="27" t="inlineStr">
        <is>
          <t>8/12上午·篮球初级</t>
        </is>
      </c>
      <c r="C3" s="27" t="inlineStr">
        <is>
          <t>张三</t>
        </is>
      </c>
      <c r="D3" s="27" t="inlineStr">
        <is>
          <t>王小红</t>
        </is>
      </c>
      <c r="E3" s="27" t="inlineStr">
        <is>
          <t>出勤</t>
        </is>
      </c>
      <c r="F3" s="24">
        <f>C3&amp;"|"&amp;B3</f>
        <v/>
      </c>
      <c r="G3" s="24">
        <f>IF(COUNTIFS($C$2:C3,C3,$B$2:B3,B3)=1,1,0)</f>
        <v/>
      </c>
    </row>
    <row r="4">
      <c r="A4" s="26" t="n">
        <v>46246</v>
      </c>
      <c r="B4" s="27" t="inlineStr">
        <is>
          <t>8/12上午·篮球初级</t>
        </is>
      </c>
      <c r="C4" s="27" t="inlineStr">
        <is>
          <t>张三</t>
        </is>
      </c>
      <c r="D4" s="27" t="inlineStr">
        <is>
          <t>陈大壮</t>
        </is>
      </c>
      <c r="E4" s="27" t="inlineStr">
        <is>
          <t>请假</t>
        </is>
      </c>
      <c r="F4" s="24">
        <f>C4&amp;"|"&amp;B4</f>
        <v/>
      </c>
      <c r="G4" s="24">
        <f>IF(COUNTIFS($C$2:C4,C4,$B$2:B4,B4)=1,1,0)</f>
        <v/>
      </c>
    </row>
    <row r="5">
      <c r="A5" s="26" t="n">
        <v>46246</v>
      </c>
      <c r="B5" s="27" t="inlineStr">
        <is>
          <t>8/12下午·游泳启蒙</t>
        </is>
      </c>
      <c r="C5" s="27" t="inlineStr">
        <is>
          <t>李四</t>
        </is>
      </c>
      <c r="D5" s="27" t="inlineStr">
        <is>
          <t>赵小丽</t>
        </is>
      </c>
      <c r="E5" s="27" t="inlineStr">
        <is>
          <t>出勤</t>
        </is>
      </c>
      <c r="F5" s="24">
        <f>C5&amp;"|"&amp;B5</f>
        <v/>
      </c>
      <c r="G5" s="24">
        <f>IF(COUNTIFS($C$2:C5,C5,$B$2:B5,B5)=1,1,0)</f>
        <v/>
      </c>
    </row>
    <row r="6">
      <c r="A6" s="26" t="n">
        <v>46246</v>
      </c>
      <c r="B6" s="27" t="inlineStr">
        <is>
          <t>8/12下午·游泳启蒙</t>
        </is>
      </c>
      <c r="C6" s="27" t="inlineStr">
        <is>
          <t>李四</t>
        </is>
      </c>
      <c r="D6" s="27" t="inlineStr">
        <is>
          <t>孙小美</t>
        </is>
      </c>
      <c r="E6" s="27" t="inlineStr">
        <is>
          <t>出勤</t>
        </is>
      </c>
      <c r="F6" s="24">
        <f>C6&amp;"|"&amp;B6</f>
        <v/>
      </c>
      <c r="G6" s="24">
        <f>IF(COUNTIFS($C$2:C6,C6,$B$2:B6,B6)=1,1,0)</f>
        <v/>
      </c>
    </row>
    <row r="7">
      <c r="A7" s="26" t="n">
        <v>46247</v>
      </c>
      <c r="B7" s="27" t="inlineStr">
        <is>
          <t>8/13上午·篮球初级</t>
        </is>
      </c>
      <c r="C7" s="27" t="inlineStr">
        <is>
          <t>张三</t>
        </is>
      </c>
      <c r="D7" s="27" t="inlineStr">
        <is>
          <t>李小明</t>
        </is>
      </c>
      <c r="E7" s="27" t="inlineStr">
        <is>
          <t>出勤</t>
        </is>
      </c>
      <c r="F7" s="24">
        <f>C7&amp;"|"&amp;B7</f>
        <v/>
      </c>
      <c r="G7" s="24">
        <f>IF(COUNTIFS($C$2:C7,C7,$B$2:B7,B7)=1,1,0)</f>
        <v/>
      </c>
    </row>
    <row r="8">
      <c r="A8" s="26" t="n">
        <v>46247</v>
      </c>
      <c r="B8" s="27" t="inlineStr">
        <is>
          <t>8/13上午·篮球初级</t>
        </is>
      </c>
      <c r="C8" s="27" t="inlineStr">
        <is>
          <t>张三</t>
        </is>
      </c>
      <c r="D8" s="27" t="inlineStr">
        <is>
          <t>王小红</t>
        </is>
      </c>
      <c r="E8" s="27" t="inlineStr">
        <is>
          <t>缺勤</t>
        </is>
      </c>
      <c r="F8" s="24">
        <f>C8&amp;"|"&amp;B8</f>
        <v/>
      </c>
      <c r="G8" s="24">
        <f>IF(COUNTIFS($C$2:C8,C8,$B$2:B8,B8)=1,1,0)</f>
        <v/>
      </c>
    </row>
    <row r="9"/>
    <row r="10">
      <c r="A10" s="28" t="inlineStr">
        <is>
          <t>（F、G 列为自动计算的辅助列，无需手动填写）</t>
        </is>
      </c>
    </row>
  </sheetData>
  <dataValidations count="1">
    <dataValidation sqref="E2:E200" showDropDown="0" showInputMessage="0" showErrorMessage="0" allowBlank="1" type="list" operator="between">
      <formula1>"出勤,缺勤,请假"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4" customWidth="1" style="3" min="1" max="1"/>
    <col width="14" customWidth="1" style="3" min="2" max="2"/>
    <col width="14" customWidth="1" style="3" min="3" max="3"/>
    <col width="18" customWidth="1" style="3" min="4" max="4"/>
  </cols>
  <sheetData>
    <row r="1">
      <c r="A1" s="22" t="inlineStr">
        <is>
          <t>老师薪酬（自动换算）</t>
        </is>
      </c>
    </row>
    <row r="2">
      <c r="A2" s="16" t="inlineStr">
        <is>
          <t>每位授课老师一行。B 列填 教练类型：兼职 / 全职 / 一对一（下拉选择）。一对一的每节课售价填在【课次薪酬】表“课次售价”列。当月薪酬按三种模式自动汇总。</t>
        </is>
      </c>
    </row>
    <row r="3">
      <c r="A3" s="29" t="inlineStr">
        <is>
          <t>授课老师</t>
        </is>
      </c>
      <c r="B3" s="30" t="inlineStr">
        <is>
          <t>教练类型</t>
        </is>
      </c>
      <c r="C3" s="19" t="inlineStr">
        <is>
          <t>课数(去重)</t>
        </is>
      </c>
      <c r="D3" s="19" t="inlineStr">
        <is>
          <t>出勤人次</t>
        </is>
      </c>
      <c r="E3" s="19" t="inlineStr">
        <is>
          <t>当月薪酬(元)</t>
        </is>
      </c>
    </row>
    <row r="4">
      <c r="A4" s="23" t="inlineStr">
        <is>
          <t>张三</t>
        </is>
      </c>
      <c r="B4" s="31" t="inlineStr">
        <is>
          <t>兼职</t>
        </is>
      </c>
      <c r="C4" s="20">
        <f>SUMIFS(考勤明细!$G$2:$G$2000,考勤明细!$C$2:$C$2000,A4)</f>
        <v/>
      </c>
      <c r="D4" s="20">
        <f>COUNTIFS(考勤明细!$C$2:$C$2000,A4,考勤明细!$E$2:$E$2000,"出勤")</f>
        <v/>
      </c>
      <c r="E4" s="32">
        <f>SUMIFS(课次薪酬!$F$5:$F$2000,课次薪酬!$B$5:$B$2000,A4)</f>
        <v/>
      </c>
    </row>
    <row r="5">
      <c r="A5" s="0" t="inlineStr">
        <is>
          <t>李四</t>
        </is>
      </c>
      <c r="B5" s="0" t="inlineStr">
        <is>
          <t>全职</t>
        </is>
      </c>
      <c r="C5" s="20">
        <f>SUMIFS(考勤明细!$G$2:$G$2000,考勤明细!$C$2:$C$2000,A5)</f>
        <v/>
      </c>
      <c r="D5" s="20">
        <f>COUNTIFS(考勤明细!$C$2:$C$2000,A5,考勤明细!$E$2:$E$2000,"出勤")</f>
        <v/>
      </c>
      <c r="E5" s="32">
        <f>SUMIFS(课次薪酬!$F$5:$F$2000,课次薪酬!$B$5:$B$2000,A5)</f>
        <v/>
      </c>
    </row>
    <row r="6">
      <c r="A6" s="33" t="inlineStr"/>
      <c r="B6" s="33" t="inlineStr"/>
      <c r="C6" s="33" t="inlineStr"/>
      <c r="D6" s="33" t="inlineStr"/>
    </row>
    <row r="7">
      <c r="A7" s="27" t="inlineStr"/>
      <c r="B7" s="27" t="inlineStr"/>
      <c r="C7" s="27" t="inlineStr"/>
      <c r="D7" s="34" t="inlineStr"/>
    </row>
    <row r="8">
      <c r="A8" s="27" t="inlineStr"/>
      <c r="B8" s="27" t="inlineStr"/>
      <c r="C8" s="27" t="inlineStr"/>
      <c r="D8" s="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.6719" customWidth="1" style="3" min="1" max="1"/>
    <col width="11.6719" customWidth="1" style="3" min="2" max="4"/>
    <col width="18.6719" customWidth="1" style="3" min="5" max="5"/>
    <col width="15.6719" customWidth="1" style="3" min="6" max="6"/>
  </cols>
  <sheetData>
    <row r="1">
      <c r="A1" s="15" t="inlineStr">
        <is>
          <t>课次薪酬统计（按课次自动算教练薪酬）</t>
        </is>
      </c>
    </row>
    <row r="2">
      <c r="A2" s="16" t="inlineStr">
        <is>
          <t>每节课一行：A 列填课次名称（须与【考勤明细】课次完全一致）；B/C/D 自动算；E 列仅“一对一”课填每节课售价；F 自动算本节课薪酬。</t>
        </is>
      </c>
    </row>
    <row r="3"/>
    <row r="4">
      <c r="A4" s="19" t="inlineStr">
        <is>
          <t>课次</t>
        </is>
      </c>
      <c r="B4" s="19" t="inlineStr">
        <is>
          <t>授课老师</t>
        </is>
      </c>
      <c r="C4" s="19" t="inlineStr">
        <is>
          <t>出勤人数</t>
        </is>
      </c>
      <c r="D4" s="19" t="inlineStr">
        <is>
          <t>教练类型</t>
        </is>
      </c>
      <c r="E4" s="19" t="inlineStr">
        <is>
          <t>课次售价(一对一)</t>
        </is>
      </c>
      <c r="F4" s="19" t="inlineStr">
        <is>
          <t>本节课薪酬(元)</t>
        </is>
      </c>
    </row>
    <row r="5">
      <c r="A5" s="0" t="inlineStr">
        <is>
          <t>8/12上午·篮球初级</t>
        </is>
      </c>
      <c r="B5" s="20">
        <f>IF($A5="","",IFERROR(INDEX(考勤明细!$C$2:$C$2000,MATCH($A5,考勤明细!$B$2:$B$2000,0)),""))</f>
        <v/>
      </c>
      <c r="C5" s="20">
        <f>IF($A5="","",COUNTIFS(考勤明细!$B$2:$B$2000,$A5,考勤明细!$E$2:$E$2000,"出勤"))</f>
        <v/>
      </c>
      <c r="D5" s="20">
        <f>IF($A5="","",IFERROR(INDEX(老师薪酬!$B$4:$B$2000,MATCH($B5,老师薪酬!$A$4:$A$2000,0)),""))</f>
        <v/>
      </c>
      <c r="F5" s="32">
        <f>IF($A5="","",IF($D5="兼职",IF($C5&lt;15,80,120),IF($D5="全职",$C5*5,IF($D5="一对一",$E5*0.4,0))))</f>
        <v/>
      </c>
    </row>
    <row r="6">
      <c r="A6" s="0" t="inlineStr">
        <is>
          <t>8/12下午·游泳启蒙</t>
        </is>
      </c>
      <c r="B6" s="20">
        <f>IF($A6="","",IFERROR(INDEX(考勤明细!$C$2:$C$2000,MATCH($A6,考勤明细!$B$2:$B$2000,0)),""))</f>
        <v/>
      </c>
      <c r="C6" s="20">
        <f>IF($A6="","",COUNTIFS(考勤明细!$B$2:$B$2000,$A6,考勤明细!$E$2:$E$2000,"出勤"))</f>
        <v/>
      </c>
      <c r="D6" s="20">
        <f>IF($A6="","",IFERROR(INDEX(老师薪酬!$B$4:$B$2000,MATCH($B6,老师薪酬!$A$4:$A$2000,0)),""))</f>
        <v/>
      </c>
      <c r="F6" s="32">
        <f>IF($A6="","",IF($D6="兼职",IF($C6&lt;15,80,120),IF($D6="全职",$C6*5,IF($D6="一对一",$E6*0.4,0))))</f>
        <v/>
      </c>
    </row>
    <row r="7">
      <c r="A7" s="0" t="inlineStr">
        <is>
          <t>8/13上午·篮球初级</t>
        </is>
      </c>
      <c r="B7" s="20">
        <f>IF($A7="","",IFERROR(INDEX(考勤明细!$C$2:$C$2000,MATCH($A7,考勤明细!$B$2:$B$2000,0)),""))</f>
        <v/>
      </c>
      <c r="C7" s="20">
        <f>IF($A7="","",COUNTIFS(考勤明细!$B$2:$B$2000,$A7,考勤明细!$E$2:$E$2000,"出勤"))</f>
        <v/>
      </c>
      <c r="D7" s="20">
        <f>IF($A7="","",IFERROR(INDEX(老师薪酬!$B$4:$B$2000,MATCH($B7,老师薪酬!$A$4:$A$2000,0)),""))</f>
        <v/>
      </c>
      <c r="F7" s="32">
        <f>IF($A7="","",IF($D7="兼职",IF($C7&lt;15,80,120),IF($D7="全职",$C7*5,IF($D7="一对一",$E7*0.4,0))))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22" customWidth="1" style="3" min="1" max="1"/>
    <col width="14" customWidth="1" style="3" min="2" max="2"/>
    <col width="14" customWidth="1" style="3" min="3" max="3"/>
  </cols>
  <sheetData>
    <row r="1">
      <c r="A1" s="22" t="inlineStr">
        <is>
          <t>统计看板（自动）</t>
        </is>
      </c>
    </row>
    <row r="2"/>
    <row r="3">
      <c r="A3" s="23" t="inlineStr">
        <is>
          <t>统计年月</t>
        </is>
      </c>
      <c r="B3" s="31" t="inlineStr">
        <is>
          <t>2026-08</t>
        </is>
      </c>
    </row>
    <row r="4"/>
    <row r="5">
      <c r="A5" s="23" t="inlineStr">
        <is>
          <t>当月出勤总人次</t>
        </is>
      </c>
      <c r="B5" s="35">
        <f>COUNTIFS(考勤明细!$A$2:$A$2000,"&gt;="&amp;DATE(LEFT($B$3,4),RIGHT($B$3,2),1),考勤明细!$A$2:$A$2000,"&lt;="&amp;EOMONTH(DATE(LEFT($B$3,4),RIGHT($B$3,2),1),0),考勤明细!$E$2:$E$2000,"出勤")</f>
        <v/>
      </c>
    </row>
    <row r="6">
      <c r="A6" s="23" t="inlineStr">
        <is>
          <t>当月出勤课次总数</t>
        </is>
      </c>
      <c r="B6" s="35">
        <f>SUMIFS(考勤明细!$G$2:$G$2000,考勤明细!$A$2:$A$2000,"&gt;="&amp;DATE(LEFT($B$3,4),RIGHT($B$3,2),1),考勤明细!$A$2:$A$2000,"&lt;="&amp;EOMONTH(DATE(LEFT($B$3,4),RIGHT($B$3,2),1),0))</f>
        <v/>
      </c>
    </row>
    <row r="7"/>
    <row r="8">
      <c r="A8" s="35" t="inlineStr">
        <is>
          <t>按课次统计</t>
        </is>
      </c>
    </row>
    <row r="9">
      <c r="A9" s="33" t="inlineStr">
        <is>
          <t>课次</t>
        </is>
      </c>
      <c r="B9" s="33" t="inlineStr">
        <is>
          <t>出勤人数</t>
        </is>
      </c>
    </row>
    <row r="10">
      <c r="A10" s="27" t="inlineStr">
        <is>
          <t>8/12上午·篮球初级</t>
        </is>
      </c>
      <c r="B10" s="27">
        <f>COUNTIFS(考勤明细!$B$2:$B$2000,A10,考勤明细!$E$2:$E$2000,"出勤")</f>
        <v/>
      </c>
    </row>
    <row r="11">
      <c r="A11" s="27" t="inlineStr">
        <is>
          <t>8/12下午·游泳启蒙</t>
        </is>
      </c>
      <c r="B11" s="27">
        <f>COUNTIFS(考勤明细!$B$2:$B$2000,A11,考勤明细!$E$2:$E$2000,"出勤")</f>
        <v/>
      </c>
    </row>
    <row r="12">
      <c r="A12" s="27" t="inlineStr">
        <is>
          <t>8/13上午·篮球初级</t>
        </is>
      </c>
      <c r="B12" s="27">
        <f>COUNTIFS(考勤明细!$B$2:$B$2000,A12,考勤明细!$E$2:$E$2000,"出勤")</f>
        <v/>
      </c>
    </row>
    <row r="13"/>
    <row r="14">
      <c r="A14" s="35" t="inlineStr">
        <is>
          <t>按学员统计</t>
        </is>
      </c>
    </row>
    <row r="15">
      <c r="A15" s="33" t="inlineStr">
        <is>
          <t>学员姓名</t>
        </is>
      </c>
      <c r="B15" s="33" t="inlineStr">
        <is>
          <t>上课次数</t>
        </is>
      </c>
    </row>
    <row r="16">
      <c r="A16" s="27" t="inlineStr">
        <is>
          <t>李小明</t>
        </is>
      </c>
      <c r="B16" s="27">
        <f>COUNTIFS(考勤明细!$D$2:$D$2000,A16,考勤明细!$E$2:$E$2000,"出勤")</f>
        <v/>
      </c>
    </row>
    <row r="17">
      <c r="A17" s="27" t="inlineStr">
        <is>
          <t>王小红</t>
        </is>
      </c>
      <c r="B17" s="27">
        <f>COUNTIFS(考勤明细!$D$2:$D$2000,A17,考勤明细!$E$2:$E$2000,"出勤")</f>
        <v/>
      </c>
    </row>
    <row r="18">
      <c r="A18" s="27" t="inlineStr">
        <is>
          <t>陈大壮</t>
        </is>
      </c>
      <c r="B18" s="27">
        <f>COUNTIFS(考勤明细!$D$2:$D$2000,A18,考勤明细!$E$2:$E$2000,"出勤")</f>
        <v/>
      </c>
    </row>
    <row r="19">
      <c r="A19" s="27" t="inlineStr">
        <is>
          <t>赵小丽</t>
        </is>
      </c>
      <c r="B19" s="27">
        <f>COUNTIFS(考勤明细!$D$2:$D$2000,A19,考勤明细!$E$2:$E$2000,"出勤")</f>
        <v/>
      </c>
    </row>
    <row r="20">
      <c r="A20" s="27" t="inlineStr">
        <is>
          <t>孙小美</t>
        </is>
      </c>
      <c r="B20" s="27">
        <f>COUNTIFS(考勤明细!$D$2:$D$2000,A20,考勤明细!$E$2:$E$2000,"出勤")</f>
        <v/>
      </c>
    </row>
    <row r="21"/>
    <row r="22">
      <c r="A22" s="35" t="inlineStr">
        <is>
          <t>按老师统计</t>
        </is>
      </c>
    </row>
    <row r="23">
      <c r="A23" s="33" t="inlineStr">
        <is>
          <t>授课老师</t>
        </is>
      </c>
      <c r="B23" s="33" t="inlineStr">
        <is>
          <t>出勤人次</t>
        </is>
      </c>
      <c r="C23" s="33" t="inlineStr">
        <is>
          <t>课数(去重)</t>
        </is>
      </c>
    </row>
    <row r="24">
      <c r="A24" s="27" t="inlineStr">
        <is>
          <t>张三</t>
        </is>
      </c>
      <c r="B24" s="27">
        <f>COUNTIFS(考勤明细!$C$2:$C$2000,A24,考勤明细!$E$2:$E$2000,"出勤")</f>
        <v/>
      </c>
      <c r="C24" s="27">
        <f>SUMIFS(考勤明细!$G$2:$G$2000,考勤明细!$C$2:$C$2000,A24)</f>
        <v/>
      </c>
    </row>
    <row r="25">
      <c r="A25" s="27" t="inlineStr">
        <is>
          <t>李四</t>
        </is>
      </c>
      <c r="B25" s="27">
        <f>COUNTIFS(考勤明细!$C$2:$C$2000,A25,考勤明细!$E$2:$E$2000,"出勤")</f>
        <v/>
      </c>
      <c r="C25" s="27">
        <f>SUMIFS(考勤明细!$G$2:$G$2000,考勤明细!$C$2:$C$2000,A25)</f>
        <v/>
      </c>
    </row>
    <row r="26"/>
    <row r="27">
      <c r="A27" s="28" t="inlineStr">
        <is>
          <t>课次 / 学员 / 老师列表可按需往下加行，公式已写好自动生效。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2026-08-12T10:56:59Z</dcterms:created>
  <dcterms:modified xsi:type="dcterms:W3CDTF">2026-08-12T03:01:04Z</dcterms:modified>
</cp:coreProperties>
</file>